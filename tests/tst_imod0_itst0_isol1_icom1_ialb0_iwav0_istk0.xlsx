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_conf_pubs_works\2026\01_limb_rtm\src_python\tests\"/>
    </mc:Choice>
  </mc:AlternateContent>
  <xr:revisionPtr revIDLastSave="0" documentId="13_ncr:1_{431AA18C-5F27-4C88-A40E-C2A7A8ABFFB1}" xr6:coauthVersionLast="47" xr6:coauthVersionMax="47" xr10:uidLastSave="{00000000-0000-0000-0000-000000000000}"/>
  <bookViews>
    <workbookView xWindow="-28898" yWindow="-4395" windowWidth="28996" windowHeight="15675" xr2:uid="{8B828620-8A12-4B21-88D4-44FABB81912A}"/>
  </bookViews>
  <sheets>
    <sheet name="I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2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H82" i="1" l="1" a="1"/>
  <c r="H82" i="1" s="1"/>
  <c r="H83" i="1" a="1"/>
  <c r="H83" i="1" s="1"/>
  <c r="F82" i="1" a="1"/>
  <c r="F82" i="1" s="1"/>
  <c r="F83" i="1" a="1"/>
  <c r="F83" i="1" s="1"/>
  <c r="G82" i="1" a="1"/>
  <c r="G82" i="1" s="1"/>
  <c r="G83" i="1" a="1"/>
  <c r="G8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<sst xmlns="http://schemas.openxmlformats.org/spreadsheetml/2006/main" count="10" uniqueCount="10">
  <si>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hkm_tp</t>
  </si>
  <si>
    <t>DZ</t>
  </si>
  <si>
    <t>MAX</t>
  </si>
  <si>
    <t>AVR</t>
  </si>
  <si>
    <t>SK(0pnts)</t>
  </si>
  <si>
    <t>SK(1pnt)</t>
  </si>
  <si>
    <t>Rerr_1pnt</t>
  </si>
  <si>
    <t>Rerr_0pnt</t>
  </si>
  <si>
    <t>SK(2pnts)</t>
  </si>
  <si>
    <t>Rerr_2pnt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</si>
</sst>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Limb Single Scattering: (SK/DZ - 1)*100%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Iss!$G$2:$G$81</c:f>
              <c:numCache>
                <c:formatCode>0.00</c:formatCode>
                <c:ptCount val="80"/>
                <c:pt idx="0">
                  <c:v>0.11276705982750101</c:v>
                </c:pt>
                <c:pt idx="1">
                  <c:v>0.11202782447281567</c:v>
                </c:pt>
                <c:pt idx="2">
                  <c:v>0.11619132038860336</c:v>
                </c:pt>
                <c:pt idx="3">
                  <c:v>0.11165066696581238</c:v>
                </c:pt>
                <c:pt idx="4">
                  <c:v>0.11010935647197684</c:v>
                </c:pt>
                <c:pt idx="5">
                  <c:v>0.11072906346523137</c:v>
                </c:pt>
                <c:pt idx="6">
                  <c:v>0.11200535778206344</c:v>
                </c:pt>
                <c:pt idx="7">
                  <c:v>0.11265962496354032</c:v>
                </c:pt>
                <c:pt idx="8">
                  <c:v>0.11214191049035982</c:v>
                </c:pt>
                <c:pt idx="9">
                  <c:v>0.11474694540938302</c:v>
                </c:pt>
                <c:pt idx="10">
                  <c:v>0.11299497769250433</c:v>
                </c:pt>
                <c:pt idx="11">
                  <c:v>0.11157708437534719</c:v>
                </c:pt>
                <c:pt idx="12">
                  <c:v>0.10901399992166994</c:v>
                </c:pt>
                <c:pt idx="13">
                  <c:v>0.10905524568649572</c:v>
                </c:pt>
                <c:pt idx="14">
                  <c:v>0.10964719590209615</c:v>
                </c:pt>
                <c:pt idx="15">
                  <c:v>0.10913718417635554</c:v>
                </c:pt>
                <c:pt idx="16">
                  <c:v>0.11073643374512887</c:v>
                </c:pt>
                <c:pt idx="17">
                  <c:v>0.11226003130921924</c:v>
                </c:pt>
                <c:pt idx="18">
                  <c:v>0.11111014970603961</c:v>
                </c:pt>
                <c:pt idx="19">
                  <c:v>0.10989204426863353</c:v>
                </c:pt>
                <c:pt idx="20">
                  <c:v>0.11084232716220832</c:v>
                </c:pt>
                <c:pt idx="21">
                  <c:v>0.11073805910575274</c:v>
                </c:pt>
                <c:pt idx="22">
                  <c:v>0.11101918713805059</c:v>
                </c:pt>
                <c:pt idx="23">
                  <c:v>0.10784227493660925</c:v>
                </c:pt>
                <c:pt idx="24">
                  <c:v>0.11129240665113116</c:v>
                </c:pt>
                <c:pt idx="25">
                  <c:v>0.11174680768248901</c:v>
                </c:pt>
                <c:pt idx="26">
                  <c:v>0.10872614396222335</c:v>
                </c:pt>
                <c:pt idx="27">
                  <c:v>0.10996380452183985</c:v>
                </c:pt>
                <c:pt idx="28">
                  <c:v>0.10845972515531876</c:v>
                </c:pt>
                <c:pt idx="29">
                  <c:v>0.10975968406017333</c:v>
                </c:pt>
                <c:pt idx="30">
                  <c:v>0.10907059286364706</c:v>
                </c:pt>
                <c:pt idx="31">
                  <c:v>0.11307934125466268</c:v>
                </c:pt>
                <c:pt idx="32">
                  <c:v>0.11346220080108438</c:v>
                </c:pt>
                <c:pt idx="33">
                  <c:v>0.11210533825238844</c:v>
                </c:pt>
                <c:pt idx="34">
                  <c:v>0.11536403607095291</c:v>
                </c:pt>
                <c:pt idx="35">
                  <c:v>0.1206220702784977</c:v>
                </c:pt>
                <c:pt idx="36">
                  <c:v>0.13443071232974724</c:v>
                </c:pt>
                <c:pt idx="37">
                  <c:v>0.14882091634098593</c:v>
                </c:pt>
                <c:pt idx="38">
                  <c:v>0.16510451647080426</c:v>
                </c:pt>
                <c:pt idx="39">
                  <c:v>0.17166022587318253</c:v>
                </c:pt>
                <c:pt idx="40">
                  <c:v>0.1645739301069149</c:v>
                </c:pt>
                <c:pt idx="41">
                  <c:v>0.15236059994458984</c:v>
                </c:pt>
                <c:pt idx="42">
                  <c:v>0.1475475558460948</c:v>
                </c:pt>
                <c:pt idx="43">
                  <c:v>0.14320023125353742</c:v>
                </c:pt>
                <c:pt idx="44">
                  <c:v>0.15507732941493213</c:v>
                </c:pt>
                <c:pt idx="45">
                  <c:v>0.16595160320251878</c:v>
                </c:pt>
                <c:pt idx="46">
                  <c:v>0.16139230614415911</c:v>
                </c:pt>
                <c:pt idx="47">
                  <c:v>0.15667649143549234</c:v>
                </c:pt>
                <c:pt idx="48">
                  <c:v>0.16053118745260608</c:v>
                </c:pt>
                <c:pt idx="49">
                  <c:v>0.16156351282445858</c:v>
                </c:pt>
                <c:pt idx="50">
                  <c:v>0.15288595020659379</c:v>
                </c:pt>
                <c:pt idx="51">
                  <c:v>0.1462215155558777</c:v>
                </c:pt>
                <c:pt idx="52">
                  <c:v>0.14077338593017075</c:v>
                </c:pt>
                <c:pt idx="53">
                  <c:v>0.13420406957995734</c:v>
                </c:pt>
                <c:pt idx="54">
                  <c:v>0.13032704225650615</c:v>
                </c:pt>
                <c:pt idx="55">
                  <c:v>0.12773905999103885</c:v>
                </c:pt>
                <c:pt idx="56">
                  <c:v>0.12053824014170988</c:v>
                </c:pt>
                <c:pt idx="57">
                  <c:v>0.1188441122688122</c:v>
                </c:pt>
                <c:pt idx="58">
                  <c:v>0.11667246091133787</c:v>
                </c:pt>
                <c:pt idx="59">
                  <c:v>0.11881707085050763</c:v>
                </c:pt>
                <c:pt idx="60">
                  <c:v>0.11106913433411858</c:v>
                </c:pt>
                <c:pt idx="61">
                  <c:v>0.11804030668056686</c:v>
                </c:pt>
                <c:pt idx="62">
                  <c:v>0.11891448967151774</c:v>
                </c:pt>
                <c:pt idx="63">
                  <c:v>0.11469643518182693</c:v>
                </c:pt>
                <c:pt idx="64">
                  <c:v>0.11451594245956986</c:v>
                </c:pt>
                <c:pt idx="65">
                  <c:v>0.11310643743220883</c:v>
                </c:pt>
                <c:pt idx="66">
                  <c:v>0.1124892779019504</c:v>
                </c:pt>
                <c:pt idx="67">
                  <c:v>0.11207544862197327</c:v>
                </c:pt>
                <c:pt idx="68">
                  <c:v>0.11088846141633635</c:v>
                </c:pt>
                <c:pt idx="69">
                  <c:v>0.10972091395120565</c:v>
                </c:pt>
                <c:pt idx="70">
                  <c:v>0.11097713532151054</c:v>
                </c:pt>
                <c:pt idx="71">
                  <c:v>0.10888562726192319</c:v>
                </c:pt>
                <c:pt idx="72">
                  <c:v>0.10958513648067214</c:v>
                </c:pt>
                <c:pt idx="73">
                  <c:v>0.11118453249496785</c:v>
                </c:pt>
                <c:pt idx="74">
                  <c:v>0.10900499751684833</c:v>
                </c:pt>
                <c:pt idx="75">
                  <c:v>0.11107585878897819</c:v>
                </c:pt>
                <c:pt idx="76">
                  <c:v>0.10848368695708377</c:v>
                </c:pt>
                <c:pt idx="77">
                  <c:v>0.11341039292154242</c:v>
                </c:pt>
                <c:pt idx="78">
                  <c:v>0.10946634023591972</c:v>
                </c:pt>
                <c:pt idx="79">
                  <c:v>0.10949271543716499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95-4407-9748-092E351DD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301711"/>
        <c:axId val="1786305551"/>
      </c:scatterChart>
      <c:valAx>
        <c:axId val="178630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Relative Error,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5551"/>
        <c:crosses val="autoZero"/>
        <c:crossBetween val="midCat"/>
      </c:valAx>
      <c:valAx>
        <c:axId val="17863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Tangent Height,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Limb Single Scattering: (SK/DZ - 1)*100%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0 extra points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Iss!$F$2:$F$81</c:f>
              <c:numCache>
                <c:formatCode>0.00</c:formatCode>
                <c:ptCount val="80"/>
                <c:pt idx="0">
                  <c:v>0.73450976806559432</c:v>
                </c:pt>
                <c:pt idx="1">
                  <c:v>0.74044712032899085</c:v>
                </c:pt>
                <c:pt idx="2">
                  <c:v>0.7450618688834787</c:v>
                </c:pt>
                <c:pt idx="3">
                  <c:v>0.75270712801362993</c:v>
                </c:pt>
                <c:pt idx="4">
                  <c:v>0.76300137401419388</c:v>
                </c:pt>
                <c:pt idx="5">
                  <c:v>0.7692755988111033</c:v>
                </c:pt>
                <c:pt idx="6">
                  <c:v>0.77595464360358246</c:v>
                </c:pt>
                <c:pt idx="7">
                  <c:v>0.78747362220710215</c:v>
                </c:pt>
                <c:pt idx="8">
                  <c:v>0.79745358570926239</c:v>
                </c:pt>
                <c:pt idx="9">
                  <c:v>0.80457462309049266</c:v>
                </c:pt>
                <c:pt idx="10">
                  <c:v>0.81261990099750214</c:v>
                </c:pt>
                <c:pt idx="11">
                  <c:v>0.82061372892814344</c:v>
                </c:pt>
                <c:pt idx="12">
                  <c:v>0.83251010718621288</c:v>
                </c:pt>
                <c:pt idx="13">
                  <c:v>0.84111415059098249</c:v>
                </c:pt>
                <c:pt idx="14">
                  <c:v>0.84985896036990916</c:v>
                </c:pt>
                <c:pt idx="15">
                  <c:v>0.86235230662914386</c:v>
                </c:pt>
                <c:pt idx="16">
                  <c:v>0.87120300603060752</c:v>
                </c:pt>
                <c:pt idx="17">
                  <c:v>0.88469143940017592</c:v>
                </c:pt>
                <c:pt idx="18">
                  <c:v>0.89493804960207868</c:v>
                </c:pt>
                <c:pt idx="19">
                  <c:v>0.90453474424323499</c:v>
                </c:pt>
                <c:pt idx="20">
                  <c:v>0.92067196980876176</c:v>
                </c:pt>
                <c:pt idx="21">
                  <c:v>0.93501780787705879</c:v>
                </c:pt>
                <c:pt idx="22">
                  <c:v>0.94414746758064716</c:v>
                </c:pt>
                <c:pt idx="23">
                  <c:v>0.95872547257478402</c:v>
                </c:pt>
                <c:pt idx="24">
                  <c:v>0.9742801361916964</c:v>
                </c:pt>
                <c:pt idx="25">
                  <c:v>0.99065428383688925</c:v>
                </c:pt>
                <c:pt idx="26">
                  <c:v>1.0071377888439148</c:v>
                </c:pt>
                <c:pt idx="27">
                  <c:v>1.0267051728148013</c:v>
                </c:pt>
                <c:pt idx="28">
                  <c:v>1.0467541904186417</c:v>
                </c:pt>
                <c:pt idx="29">
                  <c:v>1.0638111643279213</c:v>
                </c:pt>
                <c:pt idx="30">
                  <c:v>1.0861433860780423</c:v>
                </c:pt>
                <c:pt idx="31">
                  <c:v>1.1072299284169196</c:v>
                </c:pt>
                <c:pt idx="32">
                  <c:v>1.1313398718471257</c:v>
                </c:pt>
                <c:pt idx="33">
                  <c:v>1.1475510079288931</c:v>
                </c:pt>
                <c:pt idx="34">
                  <c:v>1.178295577285704</c:v>
                </c:pt>
                <c:pt idx="35">
                  <c:v>1.1926443620821736</c:v>
                </c:pt>
                <c:pt idx="36">
                  <c:v>1.2247196427218832</c:v>
                </c:pt>
                <c:pt idx="37">
                  <c:v>1.3065244060701087</c:v>
                </c:pt>
                <c:pt idx="38">
                  <c:v>1.2929670132963977</c:v>
                </c:pt>
                <c:pt idx="39">
                  <c:v>1.454869904455669</c:v>
                </c:pt>
                <c:pt idx="40">
                  <c:v>1.444479312930369</c:v>
                </c:pt>
                <c:pt idx="41">
                  <c:v>1.4780956903716058</c:v>
                </c:pt>
                <c:pt idx="42">
                  <c:v>1.4796839704120268</c:v>
                </c:pt>
                <c:pt idx="43">
                  <c:v>1.2824995742777512</c:v>
                </c:pt>
                <c:pt idx="44">
                  <c:v>1.2536386209975214</c:v>
                </c:pt>
                <c:pt idx="45">
                  <c:v>1.0247574645244395</c:v>
                </c:pt>
                <c:pt idx="46">
                  <c:v>0.90720792407157358</c:v>
                </c:pt>
                <c:pt idx="47">
                  <c:v>0.73263307517619225</c:v>
                </c:pt>
                <c:pt idx="48">
                  <c:v>0.63870919263058212</c:v>
                </c:pt>
                <c:pt idx="49">
                  <c:v>0.52995846346932662</c:v>
                </c:pt>
                <c:pt idx="50">
                  <c:v>0.42491470885543947</c:v>
                </c:pt>
                <c:pt idx="51">
                  <c:v>0.35311005192293354</c:v>
                </c:pt>
                <c:pt idx="52">
                  <c:v>0.27675503747266461</c:v>
                </c:pt>
                <c:pt idx="53">
                  <c:v>0.23867013308278562</c:v>
                </c:pt>
                <c:pt idx="54">
                  <c:v>0.17190469494854366</c:v>
                </c:pt>
                <c:pt idx="55">
                  <c:v>0.16082136753161613</c:v>
                </c:pt>
                <c:pt idx="56">
                  <c:v>0.10687177300543471</c:v>
                </c:pt>
                <c:pt idx="57">
                  <c:v>0.10874690646858198</c:v>
                </c:pt>
                <c:pt idx="58">
                  <c:v>6.6043138432947401E-2</c:v>
                </c:pt>
                <c:pt idx="59">
                  <c:v>7.471741570981294E-2</c:v>
                </c:pt>
                <c:pt idx="60">
                  <c:v>3.3101011955349868E-2</c:v>
                </c:pt>
                <c:pt idx="61">
                  <c:v>5.3975011331552913E-2</c:v>
                </c:pt>
                <c:pt idx="62">
                  <c:v>9.9019704921099461E-3</c:v>
                </c:pt>
                <c:pt idx="63">
                  <c:v>3.1927945063259244E-2</c:v>
                </c:pt>
                <c:pt idx="64">
                  <c:v>-1.0857842922740168E-2</c:v>
                </c:pt>
                <c:pt idx="65">
                  <c:v>1.1330998830949568E-2</c:v>
                </c:pt>
                <c:pt idx="66">
                  <c:v>-3.435132927459561E-2</c:v>
                </c:pt>
                <c:pt idx="67">
                  <c:v>-8.7849257168759465E-3</c:v>
                </c:pt>
                <c:pt idx="68">
                  <c:v>-5.4148999998326897E-2</c:v>
                </c:pt>
                <c:pt idx="69">
                  <c:v>-2.3700493683465051E-2</c:v>
                </c:pt>
                <c:pt idx="70">
                  <c:v>-7.2572834039763556E-2</c:v>
                </c:pt>
                <c:pt idx="71">
                  <c:v>-3.6075570908256083E-2</c:v>
                </c:pt>
                <c:pt idx="72">
                  <c:v>-9.0711070795090887E-2</c:v>
                </c:pt>
                <c:pt idx="73">
                  <c:v>-4.2173443360171703E-2</c:v>
                </c:pt>
                <c:pt idx="74">
                  <c:v>-9.7263556736293388E-2</c:v>
                </c:pt>
                <c:pt idx="75">
                  <c:v>-5.0353561474503206E-2</c:v>
                </c:pt>
                <c:pt idx="76">
                  <c:v>-0.11038050999734317</c:v>
                </c:pt>
                <c:pt idx="77">
                  <c:v>-4.9584876784158904E-2</c:v>
                </c:pt>
                <c:pt idx="78">
                  <c:v>-0.11158602040646226</c:v>
                </c:pt>
                <c:pt idx="79">
                  <c:v>-5.2102610655668791E-2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1F-4E25-93D0-23AE8406943F}"/>
            </c:ext>
          </c:extLst>
        </c:ser>
        <c:ser>
          <c:idx val="0"/>
          <c:order val="1"/>
          <c:tx>
            <c:v>1 extra point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Iss!$G$2:$G$81</c:f>
              <c:numCache>
                <c:formatCode>0.00</c:formatCode>
                <c:ptCount val="80"/>
                <c:pt idx="0">
                  <c:v>0.11276705982750101</c:v>
                </c:pt>
                <c:pt idx="1">
                  <c:v>0.11202782447281567</c:v>
                </c:pt>
                <c:pt idx="2">
                  <c:v>0.11619132038860336</c:v>
                </c:pt>
                <c:pt idx="3">
                  <c:v>0.11165066696581238</c:v>
                </c:pt>
                <c:pt idx="4">
                  <c:v>0.11010935647197684</c:v>
                </c:pt>
                <c:pt idx="5">
                  <c:v>0.11072906346523137</c:v>
                </c:pt>
                <c:pt idx="6">
                  <c:v>0.11200535778206344</c:v>
                </c:pt>
                <c:pt idx="7">
                  <c:v>0.11265962496354032</c:v>
                </c:pt>
                <c:pt idx="8">
                  <c:v>0.11214191049035982</c:v>
                </c:pt>
                <c:pt idx="9">
                  <c:v>0.11474694540938302</c:v>
                </c:pt>
                <c:pt idx="10">
                  <c:v>0.11299497769250433</c:v>
                </c:pt>
                <c:pt idx="11">
                  <c:v>0.11157708437534719</c:v>
                </c:pt>
                <c:pt idx="12">
                  <c:v>0.10901399992166994</c:v>
                </c:pt>
                <c:pt idx="13">
                  <c:v>0.10905524568649572</c:v>
                </c:pt>
                <c:pt idx="14">
                  <c:v>0.10964719590209615</c:v>
                </c:pt>
                <c:pt idx="15">
                  <c:v>0.10913718417635554</c:v>
                </c:pt>
                <c:pt idx="16">
                  <c:v>0.11073643374512887</c:v>
                </c:pt>
                <c:pt idx="17">
                  <c:v>0.11226003130921924</c:v>
                </c:pt>
                <c:pt idx="18">
                  <c:v>0.11111014970603961</c:v>
                </c:pt>
                <c:pt idx="19">
                  <c:v>0.10989204426863353</c:v>
                </c:pt>
                <c:pt idx="20">
                  <c:v>0.11084232716220832</c:v>
                </c:pt>
                <c:pt idx="21">
                  <c:v>0.11073805910575274</c:v>
                </c:pt>
                <c:pt idx="22">
                  <c:v>0.11101918713805059</c:v>
                </c:pt>
                <c:pt idx="23">
                  <c:v>0.10784227493660925</c:v>
                </c:pt>
                <c:pt idx="24">
                  <c:v>0.11129240665113116</c:v>
                </c:pt>
                <c:pt idx="25">
                  <c:v>0.11174680768248901</c:v>
                </c:pt>
                <c:pt idx="26">
                  <c:v>0.10872614396222335</c:v>
                </c:pt>
                <c:pt idx="27">
                  <c:v>0.10996380452183985</c:v>
                </c:pt>
                <c:pt idx="28">
                  <c:v>0.10845972515531876</c:v>
                </c:pt>
                <c:pt idx="29">
                  <c:v>0.10975968406017333</c:v>
                </c:pt>
                <c:pt idx="30">
                  <c:v>0.10907059286364706</c:v>
                </c:pt>
                <c:pt idx="31">
                  <c:v>0.11307934125466268</c:v>
                </c:pt>
                <c:pt idx="32">
                  <c:v>0.11346220080108438</c:v>
                </c:pt>
                <c:pt idx="33">
                  <c:v>0.11210533825238844</c:v>
                </c:pt>
                <c:pt idx="34">
                  <c:v>0.11536403607095291</c:v>
                </c:pt>
                <c:pt idx="35">
                  <c:v>0.1206220702784977</c:v>
                </c:pt>
                <c:pt idx="36">
                  <c:v>0.13443071232974724</c:v>
                </c:pt>
                <c:pt idx="37">
                  <c:v>0.14882091634098593</c:v>
                </c:pt>
                <c:pt idx="38">
                  <c:v>0.16510451647080426</c:v>
                </c:pt>
                <c:pt idx="39">
                  <c:v>0.17166022587318253</c:v>
                </c:pt>
                <c:pt idx="40">
                  <c:v>0.1645739301069149</c:v>
                </c:pt>
                <c:pt idx="41">
                  <c:v>0.15236059994458984</c:v>
                </c:pt>
                <c:pt idx="42">
                  <c:v>0.1475475558460948</c:v>
                </c:pt>
                <c:pt idx="43">
                  <c:v>0.14320023125353742</c:v>
                </c:pt>
                <c:pt idx="44">
                  <c:v>0.15507732941493213</c:v>
                </c:pt>
                <c:pt idx="45">
                  <c:v>0.16595160320251878</c:v>
                </c:pt>
                <c:pt idx="46">
                  <c:v>0.16139230614415911</c:v>
                </c:pt>
                <c:pt idx="47">
                  <c:v>0.15667649143549234</c:v>
                </c:pt>
                <c:pt idx="48">
                  <c:v>0.16053118745260608</c:v>
                </c:pt>
                <c:pt idx="49">
                  <c:v>0.16156351282445858</c:v>
                </c:pt>
                <c:pt idx="50">
                  <c:v>0.15288595020659379</c:v>
                </c:pt>
                <c:pt idx="51">
                  <c:v>0.1462215155558777</c:v>
                </c:pt>
                <c:pt idx="52">
                  <c:v>0.14077338593017075</c:v>
                </c:pt>
                <c:pt idx="53">
                  <c:v>0.13420406957995734</c:v>
                </c:pt>
                <c:pt idx="54">
                  <c:v>0.13032704225650615</c:v>
                </c:pt>
                <c:pt idx="55">
                  <c:v>0.12773905999103885</c:v>
                </c:pt>
                <c:pt idx="56">
                  <c:v>0.12053824014170988</c:v>
                </c:pt>
                <c:pt idx="57">
                  <c:v>0.1188441122688122</c:v>
                </c:pt>
                <c:pt idx="58">
                  <c:v>0.11667246091133787</c:v>
                </c:pt>
                <c:pt idx="59">
                  <c:v>0.11881707085050763</c:v>
                </c:pt>
                <c:pt idx="60">
                  <c:v>0.11106913433411858</c:v>
                </c:pt>
                <c:pt idx="61">
                  <c:v>0.11804030668056686</c:v>
                </c:pt>
                <c:pt idx="62">
                  <c:v>0.11891448967151774</c:v>
                </c:pt>
                <c:pt idx="63">
                  <c:v>0.11469643518182693</c:v>
                </c:pt>
                <c:pt idx="64">
                  <c:v>0.11451594245956986</c:v>
                </c:pt>
                <c:pt idx="65">
                  <c:v>0.11310643743220883</c:v>
                </c:pt>
                <c:pt idx="66">
                  <c:v>0.1124892779019504</c:v>
                </c:pt>
                <c:pt idx="67">
                  <c:v>0.11207544862197327</c:v>
                </c:pt>
                <c:pt idx="68">
                  <c:v>0.11088846141633635</c:v>
                </c:pt>
                <c:pt idx="69">
                  <c:v>0.10972091395120565</c:v>
                </c:pt>
                <c:pt idx="70">
                  <c:v>0.11097713532151054</c:v>
                </c:pt>
                <c:pt idx="71">
                  <c:v>0.10888562726192319</c:v>
                </c:pt>
                <c:pt idx="72">
                  <c:v>0.10958513648067214</c:v>
                </c:pt>
                <c:pt idx="73">
                  <c:v>0.11118453249496785</c:v>
                </c:pt>
                <c:pt idx="74">
                  <c:v>0.10900499751684833</c:v>
                </c:pt>
                <c:pt idx="75">
                  <c:v>0.11107585878897819</c:v>
                </c:pt>
                <c:pt idx="76">
                  <c:v>0.10848368695708377</c:v>
                </c:pt>
                <c:pt idx="77">
                  <c:v>0.11341039292154242</c:v>
                </c:pt>
                <c:pt idx="78">
                  <c:v>0.10946634023591972</c:v>
                </c:pt>
                <c:pt idx="79">
                  <c:v>0.10949271543716499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F-4E25-93D0-23AE8406943F}"/>
            </c:ext>
          </c:extLst>
        </c:ser>
        <c:ser>
          <c:idx val="2"/>
          <c:order val="2"/>
          <c:tx>
            <c:v>2 extra points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Iss!$H$2:$H$81</c:f>
              <c:numCache>
                <c:formatCode>0.00</c:formatCode>
                <c:ptCount val="80"/>
                <c:pt idx="0">
                  <c:v>9.4480509585204153E-2</c:v>
                </c:pt>
                <c:pt idx="1">
                  <c:v>9.9942838014044355E-2</c:v>
                </c:pt>
                <c:pt idx="2">
                  <c:v>9.8223590431589791E-2</c:v>
                </c:pt>
                <c:pt idx="3">
                  <c:v>9.3843543047822386E-2</c:v>
                </c:pt>
                <c:pt idx="4">
                  <c:v>9.8345536336097439E-2</c:v>
                </c:pt>
                <c:pt idx="5">
                  <c:v>9.9073372574154384E-2</c:v>
                </c:pt>
                <c:pt idx="6">
                  <c:v>9.4684941630207575E-2</c:v>
                </c:pt>
                <c:pt idx="7">
                  <c:v>9.5503336898028479E-2</c:v>
                </c:pt>
                <c:pt idx="8">
                  <c:v>9.5150711931224485E-2</c:v>
                </c:pt>
                <c:pt idx="9">
                  <c:v>9.7921880100093617E-2</c:v>
                </c:pt>
                <c:pt idx="10">
                  <c:v>9.6337241423349873E-2</c:v>
                </c:pt>
                <c:pt idx="11">
                  <c:v>9.5087860083431508E-2</c:v>
                </c:pt>
                <c:pt idx="12">
                  <c:v>9.2694538855564446E-2</c:v>
                </c:pt>
                <c:pt idx="13">
                  <c:v>9.2906887490085133E-2</c:v>
                </c:pt>
                <c:pt idx="14">
                  <c:v>9.3671402424377881E-2</c:v>
                </c:pt>
                <c:pt idx="15">
                  <c:v>9.3335468320709936E-2</c:v>
                </c:pt>
                <c:pt idx="16">
                  <c:v>9.5110408287202297E-2</c:v>
                </c:pt>
                <c:pt idx="17">
                  <c:v>9.1661860426794917E-2</c:v>
                </c:pt>
                <c:pt idx="18">
                  <c:v>9.5840775032751679E-2</c:v>
                </c:pt>
                <c:pt idx="19">
                  <c:v>9.4803891737482715E-2</c:v>
                </c:pt>
                <c:pt idx="20">
                  <c:v>9.5937487113517683E-2</c:v>
                </c:pt>
                <c:pt idx="21">
                  <c:v>9.6018777877704409E-2</c:v>
                </c:pt>
                <c:pt idx="22">
                  <c:v>9.1644110848676519E-2</c:v>
                </c:pt>
                <c:pt idx="23">
                  <c:v>9.3501546886542997E-2</c:v>
                </c:pt>
                <c:pt idx="24">
                  <c:v>9.2429286879736061E-2</c:v>
                </c:pt>
                <c:pt idx="25">
                  <c:v>9.3145591255949789E-2</c:v>
                </c:pt>
                <c:pt idx="26">
                  <c:v>9.4974945316050885E-2</c:v>
                </c:pt>
                <c:pt idx="27">
                  <c:v>9.1899935195871585E-2</c:v>
                </c:pt>
                <c:pt idx="28">
                  <c:v>9.5119045554414861E-2</c:v>
                </c:pt>
                <c:pt idx="29">
                  <c:v>9.6630535249131455E-2</c:v>
                </c:pt>
                <c:pt idx="30">
                  <c:v>9.6157736565682939E-2</c:v>
                </c:pt>
                <c:pt idx="31">
                  <c:v>9.6157629132753719E-2</c:v>
                </c:pt>
                <c:pt idx="32">
                  <c:v>9.684378984522457E-2</c:v>
                </c:pt>
                <c:pt idx="33">
                  <c:v>9.5799107233851544E-2</c:v>
                </c:pt>
                <c:pt idx="34">
                  <c:v>9.9380103120338958E-2</c:v>
                </c:pt>
                <c:pt idx="35">
                  <c:v>0.10105961969812949</c:v>
                </c:pt>
                <c:pt idx="36">
                  <c:v>0.10382611077488502</c:v>
                </c:pt>
                <c:pt idx="37">
                  <c:v>0.10400658770630677</c:v>
                </c:pt>
                <c:pt idx="38">
                  <c:v>0.11416879080770048</c:v>
                </c:pt>
                <c:pt idx="39">
                  <c:v>0.11863503254332386</c:v>
                </c:pt>
                <c:pt idx="40">
                  <c:v>0.12692965414151658</c:v>
                </c:pt>
                <c:pt idx="41">
                  <c:v>0.12927566055904727</c:v>
                </c:pt>
                <c:pt idx="42">
                  <c:v>0.11906958023779612</c:v>
                </c:pt>
                <c:pt idx="43">
                  <c:v>0.11592976825560708</c:v>
                </c:pt>
                <c:pt idx="44">
                  <c:v>9.9858640155492395E-2</c:v>
                </c:pt>
                <c:pt idx="45">
                  <c:v>0.10140083584824211</c:v>
                </c:pt>
                <c:pt idx="46">
                  <c:v>8.4617169004563841E-2</c:v>
                </c:pt>
                <c:pt idx="47">
                  <c:v>8.8757082975510215E-2</c:v>
                </c:pt>
                <c:pt idx="48">
                  <c:v>8.1290260880262366E-2</c:v>
                </c:pt>
                <c:pt idx="49">
                  <c:v>8.9000871030786577E-2</c:v>
                </c:pt>
                <c:pt idx="50">
                  <c:v>8.3431799062183565E-2</c:v>
                </c:pt>
                <c:pt idx="51">
                  <c:v>9.1456902988129585E-2</c:v>
                </c:pt>
                <c:pt idx="52">
                  <c:v>8.5733193639159211E-2</c:v>
                </c:pt>
                <c:pt idx="53">
                  <c:v>9.2417644178843794E-2</c:v>
                </c:pt>
                <c:pt idx="54">
                  <c:v>8.4969602956097567E-2</c:v>
                </c:pt>
                <c:pt idx="55">
                  <c:v>9.4656752450461568E-2</c:v>
                </c:pt>
                <c:pt idx="56">
                  <c:v>8.8649816823793692E-2</c:v>
                </c:pt>
                <c:pt idx="57">
                  <c:v>9.3601097768236663E-2</c:v>
                </c:pt>
                <c:pt idx="58">
                  <c:v>8.8545059534461679E-2</c:v>
                </c:pt>
                <c:pt idx="59">
                  <c:v>9.3617267912970981E-2</c:v>
                </c:pt>
                <c:pt idx="60">
                  <c:v>8.9805100958084694E-2</c:v>
                </c:pt>
                <c:pt idx="61">
                  <c:v>9.4015820924697735E-2</c:v>
                </c:pt>
                <c:pt idx="62">
                  <c:v>9.1661359876660242E-2</c:v>
                </c:pt>
                <c:pt idx="63">
                  <c:v>9.8142737158113391E-2</c:v>
                </c:pt>
                <c:pt idx="64">
                  <c:v>8.9677739695148695E-2</c:v>
                </c:pt>
                <c:pt idx="65">
                  <c:v>9.6822367255988695E-2</c:v>
                </c:pt>
                <c:pt idx="66">
                  <c:v>8.7495131999548725E-2</c:v>
                </c:pt>
                <c:pt idx="67">
                  <c:v>9.5840472964536794E-2</c:v>
                </c:pt>
                <c:pt idx="68">
                  <c:v>8.5819479935622667E-2</c:v>
                </c:pt>
                <c:pt idx="69">
                  <c:v>9.5165851300138549E-2</c:v>
                </c:pt>
                <c:pt idx="70">
                  <c:v>8.2738678496707685E-2</c:v>
                </c:pt>
                <c:pt idx="71">
                  <c:v>9.5707336519201824E-2</c:v>
                </c:pt>
                <c:pt idx="72">
                  <c:v>8.2622185501257661E-2</c:v>
                </c:pt>
                <c:pt idx="73">
                  <c:v>9.3142417688496515E-2</c:v>
                </c:pt>
                <c:pt idx="74">
                  <c:v>8.2560311074142412E-2</c:v>
                </c:pt>
                <c:pt idx="75">
                  <c:v>9.2449387220128187E-2</c:v>
                </c:pt>
                <c:pt idx="76">
                  <c:v>7.9301794029840167E-2</c:v>
                </c:pt>
                <c:pt idx="77">
                  <c:v>9.6252996110424149E-2</c:v>
                </c:pt>
                <c:pt idx="78">
                  <c:v>7.9185194942432702E-2</c:v>
                </c:pt>
                <c:pt idx="79">
                  <c:v>9.285790245703307E-2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1F-4E25-93D0-23AE84069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301711"/>
        <c:axId val="1786305551"/>
      </c:scatterChart>
      <c:valAx>
        <c:axId val="178630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Relative Error,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5551"/>
        <c:crosses val="autoZero"/>
        <c:crossBetween val="midCat"/>
      </c:valAx>
      <c:valAx>
        <c:axId val="17863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Tangent Height,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1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51290463692037"/>
          <c:y val="0.13739783569444369"/>
          <c:w val="0.26180621172353458"/>
          <c:h val="0.28496714144227453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Limb Single Scattering: SASKTRAN-HR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Iss!$B$2:$B$81</c:f>
              <c:numCache>
                <c:formatCode>0.0000E+00</c:formatCode>
                <c:ptCount val="80"/>
                <c:pt idx="0">
                  <c:v>1.64055E-3</c:v>
                </c:pt>
                <c:pt idx="1">
                  <c:v>1.654946E-3</c:v>
                </c:pt>
                <c:pt idx="2">
                  <c:v>1.6696599999999999E-3</c:v>
                </c:pt>
                <c:pt idx="3">
                  <c:v>1.6847190000000001E-3</c:v>
                </c:pt>
                <c:pt idx="4">
                  <c:v>1.700128E-3</c:v>
                </c:pt>
                <c:pt idx="5">
                  <c:v>1.7159E-3</c:v>
                </c:pt>
                <c:pt idx="6">
                  <c:v>1.7320599999999999E-3</c:v>
                </c:pt>
                <c:pt idx="7">
                  <c:v>1.7486299999999999E-3</c:v>
                </c:pt>
                <c:pt idx="8">
                  <c:v>1.7656200000000001E-3</c:v>
                </c:pt>
                <c:pt idx="9">
                  <c:v>1.7830540000000001E-3</c:v>
                </c:pt>
                <c:pt idx="10">
                  <c:v>1.8009650000000001E-3</c:v>
                </c:pt>
                <c:pt idx="11">
                  <c:v>1.8193700000000001E-3</c:v>
                </c:pt>
                <c:pt idx="12">
                  <c:v>1.8382959999999999E-3</c:v>
                </c:pt>
                <c:pt idx="13">
                  <c:v>1.857774E-3</c:v>
                </c:pt>
                <c:pt idx="14">
                  <c:v>1.8778410000000001E-3</c:v>
                </c:pt>
                <c:pt idx="15">
                  <c:v>1.898528E-3</c:v>
                </c:pt>
                <c:pt idx="16">
                  <c:v>1.919874E-3</c:v>
                </c:pt>
                <c:pt idx="17">
                  <c:v>1.94192E-3</c:v>
                </c:pt>
                <c:pt idx="18">
                  <c:v>1.9647169999999999E-3</c:v>
                </c:pt>
                <c:pt idx="19">
                  <c:v>1.988315E-3</c:v>
                </c:pt>
                <c:pt idx="20">
                  <c:v>2.0127690000000002E-3</c:v>
                </c:pt>
                <c:pt idx="21">
                  <c:v>2.0381430000000001E-3</c:v>
                </c:pt>
                <c:pt idx="22">
                  <c:v>2.0645080000000001E-3</c:v>
                </c:pt>
                <c:pt idx="23">
                  <c:v>2.0919440000000001E-3</c:v>
                </c:pt>
                <c:pt idx="24">
                  <c:v>2.1205400000000002E-3</c:v>
                </c:pt>
                <c:pt idx="25">
                  <c:v>2.1503970000000001E-3</c:v>
                </c:pt>
                <c:pt idx="26">
                  <c:v>2.1816280000000001E-3</c:v>
                </c:pt>
                <c:pt idx="27">
                  <c:v>2.2143649999999998E-3</c:v>
                </c:pt>
                <c:pt idx="28">
                  <c:v>2.2487610000000002E-3</c:v>
                </c:pt>
                <c:pt idx="29">
                  <c:v>2.284992E-3</c:v>
                </c:pt>
                <c:pt idx="30">
                  <c:v>2.323266E-3</c:v>
                </c:pt>
                <c:pt idx="31">
                  <c:v>2.3638270000000002E-3</c:v>
                </c:pt>
                <c:pt idx="32">
                  <c:v>2.4069690000000001E-3</c:v>
                </c:pt>
                <c:pt idx="33">
                  <c:v>2.45305E-3</c:v>
                </c:pt>
                <c:pt idx="34">
                  <c:v>2.502513E-3</c:v>
                </c:pt>
                <c:pt idx="35">
                  <c:v>2.555917E-3</c:v>
                </c:pt>
                <c:pt idx="36">
                  <c:v>2.613986E-3</c:v>
                </c:pt>
                <c:pt idx="37">
                  <c:v>2.6777150000000002E-3</c:v>
                </c:pt>
                <c:pt idx="38">
                  <c:v>2.748562E-3</c:v>
                </c:pt>
                <c:pt idx="39">
                  <c:v>2.8288440000000001E-3</c:v>
                </c:pt>
                <c:pt idx="40">
                  <c:v>2.9220909999999999E-3</c:v>
                </c:pt>
                <c:pt idx="41">
                  <c:v>3.03228E-3</c:v>
                </c:pt>
                <c:pt idx="42">
                  <c:v>3.160337E-3</c:v>
                </c:pt>
                <c:pt idx="43">
                  <c:v>3.3002740000000002E-3</c:v>
                </c:pt>
                <c:pt idx="44">
                  <c:v>3.4408640000000001E-3</c:v>
                </c:pt>
                <c:pt idx="45">
                  <c:v>3.5630869999999999E-3</c:v>
                </c:pt>
                <c:pt idx="46">
                  <c:v>3.6470140000000001E-3</c:v>
                </c:pt>
                <c:pt idx="47">
                  <c:v>3.6808330000000001E-3</c:v>
                </c:pt>
                <c:pt idx="48">
                  <c:v>3.659725E-3</c:v>
                </c:pt>
                <c:pt idx="49">
                  <c:v>3.5831109999999999E-3</c:v>
                </c:pt>
                <c:pt idx="50">
                  <c:v>3.455517E-3</c:v>
                </c:pt>
                <c:pt idx="51">
                  <c:v>3.286794E-3</c:v>
                </c:pt>
                <c:pt idx="52">
                  <c:v>3.0886519999999999E-3</c:v>
                </c:pt>
                <c:pt idx="53">
                  <c:v>2.8717460000000001E-3</c:v>
                </c:pt>
                <c:pt idx="54">
                  <c:v>2.6456520000000001E-3</c:v>
                </c:pt>
                <c:pt idx="55">
                  <c:v>2.418211E-3</c:v>
                </c:pt>
                <c:pt idx="56">
                  <c:v>2.1951539999999999E-3</c:v>
                </c:pt>
                <c:pt idx="57">
                  <c:v>1.9807459999999998E-3</c:v>
                </c:pt>
                <c:pt idx="58">
                  <c:v>1.777626E-3</c:v>
                </c:pt>
                <c:pt idx="59">
                  <c:v>1.587314E-3</c:v>
                </c:pt>
                <c:pt idx="60">
                  <c:v>1.410833E-3</c:v>
                </c:pt>
                <c:pt idx="61">
                  <c:v>1.2487259999999999E-3</c:v>
                </c:pt>
                <c:pt idx="62">
                  <c:v>1.1007910000000001E-3</c:v>
                </c:pt>
                <c:pt idx="63">
                  <c:v>9.6655139999999998E-4</c:v>
                </c:pt>
                <c:pt idx="64">
                  <c:v>8.4547180000000004E-4</c:v>
                </c:pt>
                <c:pt idx="65">
                  <c:v>7.3691649999999996E-4</c:v>
                </c:pt>
                <c:pt idx="66">
                  <c:v>6.4014989999999999E-4</c:v>
                </c:pt>
                <c:pt idx="67">
                  <c:v>5.5435870000000004E-4</c:v>
                </c:pt>
                <c:pt idx="68">
                  <c:v>4.7867919999999999E-4</c:v>
                </c:pt>
                <c:pt idx="69">
                  <c:v>4.122277E-4</c:v>
                </c:pt>
                <c:pt idx="70">
                  <c:v>3.5412699999999998E-4</c:v>
                </c:pt>
                <c:pt idx="71">
                  <c:v>3.0352949999999998E-4</c:v>
                </c:pt>
                <c:pt idx="72">
                  <c:v>2.5961549999999999E-4</c:v>
                </c:pt>
                <c:pt idx="73">
                  <c:v>2.217035E-4</c:v>
                </c:pt>
                <c:pt idx="74">
                  <c:v>1.8907390000000001E-4</c:v>
                </c:pt>
                <c:pt idx="75">
                  <c:v>1.610611E-4</c:v>
                </c:pt>
                <c:pt idx="76">
                  <c:v>1.370713E-4</c:v>
                </c:pt>
                <c:pt idx="77">
                  <c:v>1.165678E-4</c:v>
                </c:pt>
                <c:pt idx="78">
                  <c:v>9.9071549999999998E-5</c:v>
                </c:pt>
                <c:pt idx="79">
                  <c:v>8.4160849999999999E-5</c:v>
                </c:pt>
              </c:numCache>
            </c:numRef>
          </c:xVal>
          <c:yVal>
            <c:numRef>
              <c:f>Iss!$A$2:$A$81</c:f>
              <c:numCache>
                <c:formatCode>General</c:formatCode>
                <c:ptCount val="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3-4597-9333-B51E4356D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301711"/>
        <c:axId val="1786305551"/>
      </c:scatterChart>
      <c:valAx>
        <c:axId val="178630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Signal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5551"/>
        <c:crosses val="autoZero"/>
        <c:crossBetween val="midCat"/>
      </c:valAx>
      <c:valAx>
        <c:axId val="17863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Tangent Height,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29053</xdr:colOff>
      <xdr:row>1</xdr:row>
      <xdr:rowOff>21907</xdr:rowOff>
    </xdr:from>
    <xdr:to>
      <xdr:col>16</xdr:col>
      <xdr:colOff>333853</xdr:colOff>
      <xdr:row>16</xdr:row>
      <xdr:rowOff>50482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48D19-2472-F1CA-8E8C-FE41FB682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84F14A-ED61-48E6-A626-02566D001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304800</xdr:colOff>
      <xdr:row>33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2D500E-B88E-45E4-BB2F-90546693F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7E76-2E3A-46B7-8284-E640DE7DB91A}">
  <dimension ref="A1:H83"/>
  <sheetViews>
    <sheetView tabSelected="1" workbookViewId="0">
      <selection activeCell="AA16" sqref="AA16"/>
    </sheetView>
  </sheetViews>
  <sheetFormatPr defaultRowHeight="14.4" x14ac:dyDescent="0.3"/>
  <cols>
    <col min="1" max="1" width="8.88671875" style="1"/>
    <col min="2" max="5" width="12.77734375" style="1" customWidth="1"/>
    <col min="6" max="8" width="10.33203125" style="1" bestFit="1" customWidth="1"/>
    <col min="9" max="16384" width="8.88671875" style="1"/>
  </cols>
  <sheetData>
    <row r="1" spans="1:8" x14ac:dyDescent="0.3">
      <c r="A1" s="4" t="s">
        <v>0</v>
      </c>
      <c r="B1" s="4" t="s">
        <v>1</v>
      </c>
      <c r="C1" s="4" t="s">
        <v>4</v>
      </c>
      <c r="D1" s="4" t="s">
        <v>5</v>
      </c>
      <c r="E1" s="4" t="s">
        <v>8</v>
      </c>
      <c r="F1" s="4" t="s">
        <v>7</v>
      </c>
      <c r="G1" s="4" t="s">
        <v>6</v>
      </c>
      <c r="H1" s="4" t="s">
        <v>9</v>
      </c>
    </row>
    <row r="2" spans="1:8" x14ac:dyDescent="0.3">
      <c r="A2" s="1">
        <v>0.5</v>
      </c>
      <c r="B2" s="2">
        <v>1.64055E-3</v>
      </c>
      <c r="C2" s="2">
        <v>1.6525999999999999E-3</v>
      </c>
      <c r="D2" s="2">
        <v>1.6424E-3</v>
      </c>
      <c r="E2" s="2">
        <v>1.6421000000000001E-3</v>
      </c>
      <c r="F2" s="5">
        <f t="shared" ref="F2:F33" si="0">100*(C2/B2-1)</f>
        <v>0.73450976806559432</v>
      </c>
      <c r="G2" s="5">
        <f t="shared" ref="G2:G33" si="1">100*(D2/B2-1)</f>
        <v>0.11276705982750101</v>
      </c>
      <c r="H2" s="5">
        <f>100*(E2/B2-1)</f>
        <v>9.4480509585204153E-2</v>
      </c>
    </row>
    <row r="3" spans="1:8" x14ac:dyDescent="0.3">
      <c r="A3" s="1">
        <v>1.5</v>
      </c>
      <c r="B3" s="2">
        <v>1.654946E-3</v>
      </c>
      <c r="C3" s="2">
        <v>1.6672E-3</v>
      </c>
      <c r="D3" s="2">
        <v>1.6567999999999999E-3</v>
      </c>
      <c r="E3" s="2">
        <v>1.6566E-3</v>
      </c>
      <c r="F3" s="5">
        <f t="shared" si="0"/>
        <v>0.74044712032899085</v>
      </c>
      <c r="G3" s="5">
        <f t="shared" si="1"/>
        <v>0.11202782447281567</v>
      </c>
      <c r="H3" s="5">
        <f t="shared" ref="H3:H66" si="2">100*(E3/B3-1)</f>
        <v>9.9942838014044355E-2</v>
      </c>
    </row>
    <row r="4" spans="1:8" x14ac:dyDescent="0.3">
      <c r="A4" s="1">
        <v>2.5</v>
      </c>
      <c r="B4" s="2">
        <v>1.6696599999999999E-3</v>
      </c>
      <c r="C4" s="2">
        <v>1.6821E-3</v>
      </c>
      <c r="D4" s="2">
        <v>1.6716000000000001E-3</v>
      </c>
      <c r="E4" s="2">
        <v>1.6712999999999999E-3</v>
      </c>
      <c r="F4" s="5">
        <f t="shared" si="0"/>
        <v>0.7450618688834787</v>
      </c>
      <c r="G4" s="5">
        <f t="shared" si="1"/>
        <v>0.11619132038860336</v>
      </c>
      <c r="H4" s="5">
        <f t="shared" si="2"/>
        <v>9.8223590431589791E-2</v>
      </c>
    </row>
    <row r="5" spans="1:8" x14ac:dyDescent="0.3">
      <c r="A5" s="1">
        <v>3.5</v>
      </c>
      <c r="B5" s="2">
        <v>1.6847190000000001E-3</v>
      </c>
      <c r="C5" s="2">
        <v>1.6974E-3</v>
      </c>
      <c r="D5" s="2">
        <v>1.6865999999999999E-3</v>
      </c>
      <c r="E5" s="2">
        <v>1.6863E-3</v>
      </c>
      <c r="F5" s="5">
        <f t="shared" si="0"/>
        <v>0.75270712801362993</v>
      </c>
      <c r="G5" s="5">
        <f t="shared" si="1"/>
        <v>0.11165066696581238</v>
      </c>
      <c r="H5" s="5">
        <f t="shared" si="2"/>
        <v>9.3843543047822386E-2</v>
      </c>
    </row>
    <row r="6" spans="1:8" x14ac:dyDescent="0.3">
      <c r="A6" s="1">
        <v>4.5</v>
      </c>
      <c r="B6" s="2">
        <v>1.700128E-3</v>
      </c>
      <c r="C6" s="2">
        <v>1.7131E-3</v>
      </c>
      <c r="D6" s="2">
        <v>1.702E-3</v>
      </c>
      <c r="E6" s="2">
        <v>1.7018000000000001E-3</v>
      </c>
      <c r="F6" s="5">
        <f t="shared" si="0"/>
        <v>0.76300137401419388</v>
      </c>
      <c r="G6" s="5">
        <f t="shared" si="1"/>
        <v>0.11010935647197684</v>
      </c>
      <c r="H6" s="5">
        <f t="shared" si="2"/>
        <v>9.8345536336097439E-2</v>
      </c>
    </row>
    <row r="7" spans="1:8" x14ac:dyDescent="0.3">
      <c r="A7" s="1">
        <v>5.5</v>
      </c>
      <c r="B7" s="2">
        <v>1.7159E-3</v>
      </c>
      <c r="C7" s="2">
        <v>1.7290999999999999E-3</v>
      </c>
      <c r="D7" s="2">
        <v>1.7178E-3</v>
      </c>
      <c r="E7" s="2">
        <v>1.7175999999999999E-3</v>
      </c>
      <c r="F7" s="5">
        <f t="shared" si="0"/>
        <v>0.7692755988111033</v>
      </c>
      <c r="G7" s="5">
        <f t="shared" si="1"/>
        <v>0.11072906346523137</v>
      </c>
      <c r="H7" s="5">
        <f t="shared" si="2"/>
        <v>9.9073372574154384E-2</v>
      </c>
    </row>
    <row r="8" spans="1:8" x14ac:dyDescent="0.3">
      <c r="A8" s="1">
        <v>6.5</v>
      </c>
      <c r="B8" s="2">
        <v>1.7320599999999999E-3</v>
      </c>
      <c r="C8" s="2">
        <v>1.7455000000000001E-3</v>
      </c>
      <c r="D8" s="2">
        <v>1.7340000000000001E-3</v>
      </c>
      <c r="E8" s="2">
        <v>1.7336999999999999E-3</v>
      </c>
      <c r="F8" s="5">
        <f t="shared" si="0"/>
        <v>0.77595464360358246</v>
      </c>
      <c r="G8" s="5">
        <f t="shared" si="1"/>
        <v>0.11200535778206344</v>
      </c>
      <c r="H8" s="5">
        <f t="shared" si="2"/>
        <v>9.4684941630207575E-2</v>
      </c>
    </row>
    <row r="9" spans="1:8" x14ac:dyDescent="0.3">
      <c r="A9" s="1">
        <v>7.5</v>
      </c>
      <c r="B9" s="2">
        <v>1.7486299999999999E-3</v>
      </c>
      <c r="C9" s="2">
        <v>1.7623999999999999E-3</v>
      </c>
      <c r="D9" s="2">
        <v>1.7505999999999999E-3</v>
      </c>
      <c r="E9" s="2">
        <v>1.7503E-3</v>
      </c>
      <c r="F9" s="5">
        <f t="shared" si="0"/>
        <v>0.78747362220710215</v>
      </c>
      <c r="G9" s="5">
        <f t="shared" si="1"/>
        <v>0.11265962496354032</v>
      </c>
      <c r="H9" s="5">
        <f t="shared" si="2"/>
        <v>9.5503336898028479E-2</v>
      </c>
    </row>
    <row r="10" spans="1:8" x14ac:dyDescent="0.3">
      <c r="A10" s="1">
        <v>8.5</v>
      </c>
      <c r="B10" s="2">
        <v>1.7656200000000001E-3</v>
      </c>
      <c r="C10" s="2">
        <v>1.7796999999999999E-3</v>
      </c>
      <c r="D10" s="2">
        <v>1.7676E-3</v>
      </c>
      <c r="E10" s="2">
        <v>1.7673000000000001E-3</v>
      </c>
      <c r="F10" s="5">
        <f t="shared" si="0"/>
        <v>0.79745358570926239</v>
      </c>
      <c r="G10" s="5">
        <f t="shared" si="1"/>
        <v>0.11214191049035982</v>
      </c>
      <c r="H10" s="5">
        <f t="shared" si="2"/>
        <v>9.5150711931224485E-2</v>
      </c>
    </row>
    <row r="11" spans="1:8" x14ac:dyDescent="0.3">
      <c r="A11" s="1">
        <v>9.5</v>
      </c>
      <c r="B11" s="2">
        <v>1.7830540000000001E-3</v>
      </c>
      <c r="C11" s="2">
        <v>1.7974E-3</v>
      </c>
      <c r="D11" s="2">
        <v>1.7851E-3</v>
      </c>
      <c r="E11" s="2">
        <v>1.7848E-3</v>
      </c>
      <c r="F11" s="5">
        <f t="shared" si="0"/>
        <v>0.80457462309049266</v>
      </c>
      <c r="G11" s="5">
        <f t="shared" si="1"/>
        <v>0.11474694540938302</v>
      </c>
      <c r="H11" s="5">
        <f t="shared" si="2"/>
        <v>9.7921880100093617E-2</v>
      </c>
    </row>
    <row r="12" spans="1:8" x14ac:dyDescent="0.3">
      <c r="A12" s="1">
        <v>10.5</v>
      </c>
      <c r="B12" s="2">
        <v>1.8009650000000001E-3</v>
      </c>
      <c r="C12" s="2">
        <v>1.8155999999999999E-3</v>
      </c>
      <c r="D12" s="2">
        <v>1.8029999999999999E-3</v>
      </c>
      <c r="E12" s="2">
        <v>1.8027E-3</v>
      </c>
      <c r="F12" s="5">
        <f t="shared" si="0"/>
        <v>0.81261990099750214</v>
      </c>
      <c r="G12" s="5">
        <f t="shared" si="1"/>
        <v>0.11299497769250433</v>
      </c>
      <c r="H12" s="5">
        <f t="shared" si="2"/>
        <v>9.6337241423349873E-2</v>
      </c>
    </row>
    <row r="13" spans="1:8" x14ac:dyDescent="0.3">
      <c r="A13" s="1">
        <v>11.5</v>
      </c>
      <c r="B13" s="2">
        <v>1.8193700000000001E-3</v>
      </c>
      <c r="C13" s="2">
        <v>1.8343000000000001E-3</v>
      </c>
      <c r="D13" s="2">
        <v>1.8213999999999999E-3</v>
      </c>
      <c r="E13" s="2">
        <v>1.8211E-3</v>
      </c>
      <c r="F13" s="5">
        <f t="shared" si="0"/>
        <v>0.82061372892814344</v>
      </c>
      <c r="G13" s="5">
        <f t="shared" si="1"/>
        <v>0.11157708437534719</v>
      </c>
      <c r="H13" s="5">
        <f t="shared" si="2"/>
        <v>9.5087860083431508E-2</v>
      </c>
    </row>
    <row r="14" spans="1:8" x14ac:dyDescent="0.3">
      <c r="A14" s="1">
        <v>12.5</v>
      </c>
      <c r="B14" s="2">
        <v>1.8382959999999999E-3</v>
      </c>
      <c r="C14" s="2">
        <v>1.8536E-3</v>
      </c>
      <c r="D14" s="2">
        <v>1.8403E-3</v>
      </c>
      <c r="E14" s="2">
        <v>1.8400000000000001E-3</v>
      </c>
      <c r="F14" s="5">
        <f t="shared" si="0"/>
        <v>0.83251010718621288</v>
      </c>
      <c r="G14" s="5">
        <f t="shared" si="1"/>
        <v>0.10901399992166994</v>
      </c>
      <c r="H14" s="5">
        <f t="shared" si="2"/>
        <v>9.2694538855564446E-2</v>
      </c>
    </row>
    <row r="15" spans="1:8" x14ac:dyDescent="0.3">
      <c r="A15" s="1">
        <v>13.5</v>
      </c>
      <c r="B15" s="2">
        <v>1.857774E-3</v>
      </c>
      <c r="C15" s="2">
        <v>1.8733999999999999E-3</v>
      </c>
      <c r="D15" s="2">
        <v>1.8598E-3</v>
      </c>
      <c r="E15" s="2">
        <v>1.8595E-3</v>
      </c>
      <c r="F15" s="5">
        <f t="shared" si="0"/>
        <v>0.84111415059098249</v>
      </c>
      <c r="G15" s="5">
        <f t="shared" si="1"/>
        <v>0.10905524568649572</v>
      </c>
      <c r="H15" s="5">
        <f t="shared" si="2"/>
        <v>9.2906887490085133E-2</v>
      </c>
    </row>
    <row r="16" spans="1:8" x14ac:dyDescent="0.3">
      <c r="A16" s="1">
        <v>14.5</v>
      </c>
      <c r="B16" s="2">
        <v>1.8778410000000001E-3</v>
      </c>
      <c r="C16" s="2">
        <v>1.8938E-3</v>
      </c>
      <c r="D16" s="2">
        <v>1.8799000000000001E-3</v>
      </c>
      <c r="E16" s="2">
        <v>1.8795999999999999E-3</v>
      </c>
      <c r="F16" s="5">
        <f t="shared" si="0"/>
        <v>0.84985896036990916</v>
      </c>
      <c r="G16" s="5">
        <f t="shared" si="1"/>
        <v>0.10964719590209615</v>
      </c>
      <c r="H16" s="5">
        <f t="shared" si="2"/>
        <v>9.3671402424377881E-2</v>
      </c>
    </row>
    <row r="17" spans="1:8" x14ac:dyDescent="0.3">
      <c r="A17" s="1">
        <v>15.5</v>
      </c>
      <c r="B17" s="2">
        <v>1.898528E-3</v>
      </c>
      <c r="C17" s="2">
        <v>1.9149E-3</v>
      </c>
      <c r="D17" s="2">
        <v>1.9005999999999999E-3</v>
      </c>
      <c r="E17" s="2">
        <v>1.9002999999999999E-3</v>
      </c>
      <c r="F17" s="5">
        <f t="shared" si="0"/>
        <v>0.86235230662914386</v>
      </c>
      <c r="G17" s="5">
        <f t="shared" si="1"/>
        <v>0.10913718417635554</v>
      </c>
      <c r="H17" s="5">
        <f t="shared" si="2"/>
        <v>9.3335468320709936E-2</v>
      </c>
    </row>
    <row r="18" spans="1:8" x14ac:dyDescent="0.3">
      <c r="A18" s="1">
        <v>16.5</v>
      </c>
      <c r="B18" s="2">
        <v>1.919874E-3</v>
      </c>
      <c r="C18" s="2">
        <v>1.9365999999999999E-3</v>
      </c>
      <c r="D18" s="2">
        <v>1.9220000000000001E-3</v>
      </c>
      <c r="E18" s="2">
        <v>1.9216999999999999E-3</v>
      </c>
      <c r="F18" s="5">
        <f t="shared" si="0"/>
        <v>0.87120300603060752</v>
      </c>
      <c r="G18" s="5">
        <f t="shared" si="1"/>
        <v>0.11073643374512887</v>
      </c>
      <c r="H18" s="5">
        <f t="shared" si="2"/>
        <v>9.5110408287202297E-2</v>
      </c>
    </row>
    <row r="19" spans="1:8" x14ac:dyDescent="0.3">
      <c r="A19" s="1">
        <v>17.5</v>
      </c>
      <c r="B19" s="2">
        <v>1.94192E-3</v>
      </c>
      <c r="C19" s="2">
        <v>1.9591000000000001E-3</v>
      </c>
      <c r="D19" s="2">
        <v>1.9441E-3</v>
      </c>
      <c r="E19" s="2">
        <v>1.9437E-3</v>
      </c>
      <c r="F19" s="5">
        <f t="shared" si="0"/>
        <v>0.88469143940017592</v>
      </c>
      <c r="G19" s="5">
        <f t="shared" si="1"/>
        <v>0.11226003130921924</v>
      </c>
      <c r="H19" s="5">
        <f t="shared" si="2"/>
        <v>9.1661860426794917E-2</v>
      </c>
    </row>
    <row r="20" spans="1:8" x14ac:dyDescent="0.3">
      <c r="A20" s="1">
        <v>18.5</v>
      </c>
      <c r="B20" s="2">
        <v>1.9647169999999999E-3</v>
      </c>
      <c r="C20" s="2">
        <v>1.9823000000000002E-3</v>
      </c>
      <c r="D20" s="2">
        <v>1.9669000000000002E-3</v>
      </c>
      <c r="E20" s="2">
        <v>1.9666000000000002E-3</v>
      </c>
      <c r="F20" s="5">
        <f t="shared" si="0"/>
        <v>0.89493804960207868</v>
      </c>
      <c r="G20" s="5">
        <f t="shared" si="1"/>
        <v>0.11111014970603961</v>
      </c>
      <c r="H20" s="5">
        <f t="shared" si="2"/>
        <v>9.5840775032751679E-2</v>
      </c>
    </row>
    <row r="21" spans="1:8" x14ac:dyDescent="0.3">
      <c r="A21" s="1">
        <v>19.5</v>
      </c>
      <c r="B21" s="2">
        <v>1.988315E-3</v>
      </c>
      <c r="C21" s="2">
        <v>2.0062999999999999E-3</v>
      </c>
      <c r="D21" s="2">
        <v>1.9905000000000001E-3</v>
      </c>
      <c r="E21" s="2">
        <v>1.9902000000000001E-3</v>
      </c>
      <c r="F21" s="5">
        <f t="shared" si="0"/>
        <v>0.90453474424323499</v>
      </c>
      <c r="G21" s="5">
        <f t="shared" si="1"/>
        <v>0.10989204426863353</v>
      </c>
      <c r="H21" s="5">
        <f t="shared" si="2"/>
        <v>9.4803891737482715E-2</v>
      </c>
    </row>
    <row r="22" spans="1:8" x14ac:dyDescent="0.3">
      <c r="A22" s="1">
        <v>20.5</v>
      </c>
      <c r="B22" s="2">
        <v>2.0127690000000002E-3</v>
      </c>
      <c r="C22" s="2">
        <v>2.0313000000000002E-3</v>
      </c>
      <c r="D22" s="2">
        <v>2.0149999999999999E-3</v>
      </c>
      <c r="E22" s="2">
        <v>2.0146999999999999E-3</v>
      </c>
      <c r="F22" s="5">
        <f t="shared" si="0"/>
        <v>0.92067196980876176</v>
      </c>
      <c r="G22" s="5">
        <f t="shared" si="1"/>
        <v>0.11084232716220832</v>
      </c>
      <c r="H22" s="5">
        <f t="shared" si="2"/>
        <v>9.5937487113517683E-2</v>
      </c>
    </row>
    <row r="23" spans="1:8" x14ac:dyDescent="0.3">
      <c r="A23" s="1">
        <v>21.5</v>
      </c>
      <c r="B23" s="2">
        <v>2.0381430000000001E-3</v>
      </c>
      <c r="C23" s="2">
        <v>2.0571999999999999E-3</v>
      </c>
      <c r="D23" s="2">
        <v>2.0403999999999999E-3</v>
      </c>
      <c r="E23" s="2">
        <v>2.0401E-3</v>
      </c>
      <c r="F23" s="5">
        <f t="shared" si="0"/>
        <v>0.93501780787705879</v>
      </c>
      <c r="G23" s="5">
        <f t="shared" si="1"/>
        <v>0.11073805910575274</v>
      </c>
      <c r="H23" s="5">
        <f t="shared" si="2"/>
        <v>9.6018777877704409E-2</v>
      </c>
    </row>
    <row r="24" spans="1:8" x14ac:dyDescent="0.3">
      <c r="A24" s="1">
        <v>22.5</v>
      </c>
      <c r="B24" s="2">
        <v>2.0645080000000001E-3</v>
      </c>
      <c r="C24" s="2">
        <v>2.0839999999999999E-3</v>
      </c>
      <c r="D24" s="2">
        <v>2.0668000000000001E-3</v>
      </c>
      <c r="E24" s="2">
        <v>2.0663999999999999E-3</v>
      </c>
      <c r="F24" s="5">
        <f t="shared" si="0"/>
        <v>0.94414746758064716</v>
      </c>
      <c r="G24" s="5">
        <f t="shared" si="1"/>
        <v>0.11101918713805059</v>
      </c>
      <c r="H24" s="5">
        <f t="shared" si="2"/>
        <v>9.1644110848676519E-2</v>
      </c>
    </row>
    <row r="25" spans="1:8" x14ac:dyDescent="0.3">
      <c r="A25" s="1">
        <v>23.5</v>
      </c>
      <c r="B25" s="2">
        <v>2.0919440000000001E-3</v>
      </c>
      <c r="C25" s="2">
        <v>2.1120000000000002E-3</v>
      </c>
      <c r="D25" s="2">
        <v>2.0942000000000001E-3</v>
      </c>
      <c r="E25" s="2">
        <v>2.0939000000000001E-3</v>
      </c>
      <c r="F25" s="5">
        <f t="shared" si="0"/>
        <v>0.95872547257478402</v>
      </c>
      <c r="G25" s="5">
        <f t="shared" si="1"/>
        <v>0.10784227493660925</v>
      </c>
      <c r="H25" s="5">
        <f t="shared" si="2"/>
        <v>9.3501546886542997E-2</v>
      </c>
    </row>
    <row r="26" spans="1:8" x14ac:dyDescent="0.3">
      <c r="A26" s="1">
        <v>24.5</v>
      </c>
      <c r="B26" s="2">
        <v>2.1205400000000002E-3</v>
      </c>
      <c r="C26" s="2">
        <v>2.1411999999999998E-3</v>
      </c>
      <c r="D26" s="2">
        <v>2.1229E-3</v>
      </c>
      <c r="E26" s="2">
        <v>2.1224999999999998E-3</v>
      </c>
      <c r="F26" s="5">
        <f t="shared" si="0"/>
        <v>0.9742801361916964</v>
      </c>
      <c r="G26" s="5">
        <f t="shared" si="1"/>
        <v>0.11129240665113116</v>
      </c>
      <c r="H26" s="5">
        <f t="shared" si="2"/>
        <v>9.2429286879736061E-2</v>
      </c>
    </row>
    <row r="27" spans="1:8" x14ac:dyDescent="0.3">
      <c r="A27" s="1">
        <v>25.5</v>
      </c>
      <c r="B27" s="2">
        <v>2.1503970000000001E-3</v>
      </c>
      <c r="C27" s="2">
        <v>2.1716999999999999E-3</v>
      </c>
      <c r="D27" s="2">
        <v>2.1527999999999999E-3</v>
      </c>
      <c r="E27" s="2">
        <v>2.1524000000000001E-3</v>
      </c>
      <c r="F27" s="5">
        <f t="shared" si="0"/>
        <v>0.99065428383688925</v>
      </c>
      <c r="G27" s="5">
        <f t="shared" si="1"/>
        <v>0.11174680768248901</v>
      </c>
      <c r="H27" s="5">
        <f t="shared" si="2"/>
        <v>9.3145591255949789E-2</v>
      </c>
    </row>
    <row r="28" spans="1:8" x14ac:dyDescent="0.3">
      <c r="A28" s="1">
        <v>26.5</v>
      </c>
      <c r="B28" s="2">
        <v>2.1816280000000001E-3</v>
      </c>
      <c r="C28" s="2">
        <v>2.2036E-3</v>
      </c>
      <c r="D28" s="2">
        <v>2.1840000000000002E-3</v>
      </c>
      <c r="E28" s="2">
        <v>2.1836999999999998E-3</v>
      </c>
      <c r="F28" s="5">
        <f t="shared" si="0"/>
        <v>1.0071377888439148</v>
      </c>
      <c r="G28" s="5">
        <f t="shared" si="1"/>
        <v>0.10872614396222335</v>
      </c>
      <c r="H28" s="5">
        <f t="shared" si="2"/>
        <v>9.4974945316050885E-2</v>
      </c>
    </row>
    <row r="29" spans="1:8" x14ac:dyDescent="0.3">
      <c r="A29" s="1">
        <v>27.5</v>
      </c>
      <c r="B29" s="2">
        <v>2.2143649999999998E-3</v>
      </c>
      <c r="C29" s="2">
        <v>2.2371000000000001E-3</v>
      </c>
      <c r="D29" s="2">
        <v>2.2168000000000001E-3</v>
      </c>
      <c r="E29" s="2">
        <v>2.2163999999999999E-3</v>
      </c>
      <c r="F29" s="5">
        <f t="shared" si="0"/>
        <v>1.0267051728148013</v>
      </c>
      <c r="G29" s="5">
        <f t="shared" si="1"/>
        <v>0.10996380452183985</v>
      </c>
      <c r="H29" s="5">
        <f t="shared" si="2"/>
        <v>9.1899935195871585E-2</v>
      </c>
    </row>
    <row r="30" spans="1:8" x14ac:dyDescent="0.3">
      <c r="A30" s="1">
        <v>28.5</v>
      </c>
      <c r="B30" s="2">
        <v>2.2487610000000002E-3</v>
      </c>
      <c r="C30" s="2">
        <v>2.2723000000000001E-3</v>
      </c>
      <c r="D30" s="2">
        <v>2.2512000000000001E-3</v>
      </c>
      <c r="E30" s="2">
        <v>2.2509000000000001E-3</v>
      </c>
      <c r="F30" s="5">
        <f t="shared" si="0"/>
        <v>1.0467541904186417</v>
      </c>
      <c r="G30" s="5">
        <f t="shared" si="1"/>
        <v>0.10845972515531876</v>
      </c>
      <c r="H30" s="5">
        <f t="shared" si="2"/>
        <v>9.5119045554414861E-2</v>
      </c>
    </row>
    <row r="31" spans="1:8" x14ac:dyDescent="0.3">
      <c r="A31" s="1">
        <v>29.5</v>
      </c>
      <c r="B31" s="2">
        <v>2.284992E-3</v>
      </c>
      <c r="C31" s="2">
        <v>2.3092999999999998E-3</v>
      </c>
      <c r="D31" s="2">
        <v>2.2875E-3</v>
      </c>
      <c r="E31" s="2">
        <v>2.2872000000000001E-3</v>
      </c>
      <c r="F31" s="5">
        <f t="shared" si="0"/>
        <v>1.0638111643279213</v>
      </c>
      <c r="G31" s="5">
        <f t="shared" si="1"/>
        <v>0.10975968406017333</v>
      </c>
      <c r="H31" s="5">
        <f t="shared" si="2"/>
        <v>9.6630535249131455E-2</v>
      </c>
    </row>
    <row r="32" spans="1:8" x14ac:dyDescent="0.3">
      <c r="A32" s="1">
        <v>30.5</v>
      </c>
      <c r="B32" s="2">
        <v>2.323266E-3</v>
      </c>
      <c r="C32" s="2">
        <v>2.3484999999999999E-3</v>
      </c>
      <c r="D32" s="2">
        <v>2.3257999999999998E-3</v>
      </c>
      <c r="E32" s="2">
        <v>2.3254999999999999E-3</v>
      </c>
      <c r="F32" s="5">
        <f t="shared" si="0"/>
        <v>1.0861433860780423</v>
      </c>
      <c r="G32" s="5">
        <f t="shared" si="1"/>
        <v>0.10907059286364706</v>
      </c>
      <c r="H32" s="5">
        <f t="shared" si="2"/>
        <v>9.6157736565682939E-2</v>
      </c>
    </row>
    <row r="33" spans="1:8" x14ac:dyDescent="0.3">
      <c r="A33" s="1">
        <v>31.5</v>
      </c>
      <c r="B33" s="2">
        <v>2.3638270000000002E-3</v>
      </c>
      <c r="C33" s="2">
        <v>2.3900000000000002E-3</v>
      </c>
      <c r="D33" s="2">
        <v>2.3665000000000001E-3</v>
      </c>
      <c r="E33" s="2">
        <v>2.3660999999999999E-3</v>
      </c>
      <c r="F33" s="5">
        <f t="shared" si="0"/>
        <v>1.1072299284169196</v>
      </c>
      <c r="G33" s="5">
        <f t="shared" si="1"/>
        <v>0.11307934125466268</v>
      </c>
      <c r="H33" s="5">
        <f t="shared" si="2"/>
        <v>9.6157629132753719E-2</v>
      </c>
    </row>
    <row r="34" spans="1:8" x14ac:dyDescent="0.3">
      <c r="A34" s="1">
        <v>32.5</v>
      </c>
      <c r="B34" s="2">
        <v>2.4069690000000001E-3</v>
      </c>
      <c r="C34" s="2">
        <v>2.4342000000000001E-3</v>
      </c>
      <c r="D34" s="2">
        <v>2.4096999999999999E-3</v>
      </c>
      <c r="E34" s="2">
        <v>2.4093000000000001E-3</v>
      </c>
      <c r="F34" s="5">
        <f t="shared" ref="F34:F65" si="3">100*(C34/B34-1)</f>
        <v>1.1313398718471257</v>
      </c>
      <c r="G34" s="5">
        <f t="shared" ref="G34:G65" si="4">100*(D34/B34-1)</f>
        <v>0.11346220080108438</v>
      </c>
      <c r="H34" s="5">
        <f t="shared" si="2"/>
        <v>9.684378984522457E-2</v>
      </c>
    </row>
    <row r="35" spans="1:8" x14ac:dyDescent="0.3">
      <c r="A35" s="1">
        <v>33.5</v>
      </c>
      <c r="B35" s="2">
        <v>2.45305E-3</v>
      </c>
      <c r="C35" s="2">
        <v>2.4811999999999998E-3</v>
      </c>
      <c r="D35" s="2">
        <v>2.4558000000000002E-3</v>
      </c>
      <c r="E35" s="2">
        <v>2.4553999999999999E-3</v>
      </c>
      <c r="F35" s="5">
        <f t="shared" si="3"/>
        <v>1.1475510079288931</v>
      </c>
      <c r="G35" s="5">
        <f t="shared" si="4"/>
        <v>0.11210533825238844</v>
      </c>
      <c r="H35" s="5">
        <f t="shared" si="2"/>
        <v>9.5799107233851544E-2</v>
      </c>
    </row>
    <row r="36" spans="1:8" x14ac:dyDescent="0.3">
      <c r="A36" s="1">
        <v>34.5</v>
      </c>
      <c r="B36" s="2">
        <v>2.502513E-3</v>
      </c>
      <c r="C36" s="2">
        <v>2.532E-3</v>
      </c>
      <c r="D36" s="2">
        <v>2.5054000000000001E-3</v>
      </c>
      <c r="E36" s="2">
        <v>2.5049999999999998E-3</v>
      </c>
      <c r="F36" s="5">
        <f t="shared" si="3"/>
        <v>1.178295577285704</v>
      </c>
      <c r="G36" s="5">
        <f t="shared" si="4"/>
        <v>0.11536403607095291</v>
      </c>
      <c r="H36" s="5">
        <f t="shared" si="2"/>
        <v>9.9380103120338958E-2</v>
      </c>
    </row>
    <row r="37" spans="1:8" x14ac:dyDescent="0.3">
      <c r="A37" s="1">
        <v>35.5</v>
      </c>
      <c r="B37" s="2">
        <v>2.555917E-3</v>
      </c>
      <c r="C37" s="2">
        <v>2.5864E-3</v>
      </c>
      <c r="D37" s="2">
        <v>2.5590000000000001E-3</v>
      </c>
      <c r="E37" s="2">
        <v>2.5585E-3</v>
      </c>
      <c r="F37" s="5">
        <f t="shared" si="3"/>
        <v>1.1926443620821736</v>
      </c>
      <c r="G37" s="5">
        <f t="shared" si="4"/>
        <v>0.1206220702784977</v>
      </c>
      <c r="H37" s="5">
        <f t="shared" si="2"/>
        <v>0.10105961969812949</v>
      </c>
    </row>
    <row r="38" spans="1:8" x14ac:dyDescent="0.3">
      <c r="A38" s="1">
        <v>36.5</v>
      </c>
      <c r="B38" s="2">
        <v>2.613986E-3</v>
      </c>
      <c r="C38" s="2">
        <v>2.6459999999999999E-3</v>
      </c>
      <c r="D38" s="2">
        <v>2.6175E-3</v>
      </c>
      <c r="E38" s="2">
        <v>2.6167E-3</v>
      </c>
      <c r="F38" s="5">
        <f t="shared" si="3"/>
        <v>1.2247196427218832</v>
      </c>
      <c r="G38" s="5">
        <f t="shared" si="4"/>
        <v>0.13443071232974724</v>
      </c>
      <c r="H38" s="5">
        <f t="shared" si="2"/>
        <v>0.10382611077488502</v>
      </c>
    </row>
    <row r="39" spans="1:8" x14ac:dyDescent="0.3">
      <c r="A39" s="1">
        <v>37.5</v>
      </c>
      <c r="B39" s="2">
        <v>2.6777150000000002E-3</v>
      </c>
      <c r="C39" s="2">
        <v>2.7127000000000002E-3</v>
      </c>
      <c r="D39" s="2">
        <v>2.6817E-3</v>
      </c>
      <c r="E39" s="2">
        <v>2.6805000000000002E-3</v>
      </c>
      <c r="F39" s="5">
        <f t="shared" si="3"/>
        <v>1.3065244060701087</v>
      </c>
      <c r="G39" s="5">
        <f t="shared" si="4"/>
        <v>0.14882091634098593</v>
      </c>
      <c r="H39" s="5">
        <f t="shared" si="2"/>
        <v>0.10400658770630677</v>
      </c>
    </row>
    <row r="40" spans="1:8" x14ac:dyDescent="0.3">
      <c r="A40" s="1">
        <v>38.5</v>
      </c>
      <c r="B40" s="2">
        <v>2.748562E-3</v>
      </c>
      <c r="C40" s="2">
        <v>2.7840999999999999E-3</v>
      </c>
      <c r="D40" s="2">
        <v>2.7531000000000001E-3</v>
      </c>
      <c r="E40" s="2">
        <v>2.7517000000000002E-3</v>
      </c>
      <c r="F40" s="5">
        <f t="shared" si="3"/>
        <v>1.2929670132963977</v>
      </c>
      <c r="G40" s="5">
        <f t="shared" si="4"/>
        <v>0.16510451647080426</v>
      </c>
      <c r="H40" s="5">
        <f t="shared" si="2"/>
        <v>0.11416879080770048</v>
      </c>
    </row>
    <row r="41" spans="1:8" x14ac:dyDescent="0.3">
      <c r="A41" s="1">
        <v>39.5</v>
      </c>
      <c r="B41" s="2">
        <v>2.8288440000000001E-3</v>
      </c>
      <c r="C41" s="2">
        <v>2.8700000000000002E-3</v>
      </c>
      <c r="D41" s="2">
        <v>2.8337000000000002E-3</v>
      </c>
      <c r="E41" s="2">
        <v>2.8322E-3</v>
      </c>
      <c r="F41" s="5">
        <f t="shared" si="3"/>
        <v>1.454869904455669</v>
      </c>
      <c r="G41" s="5">
        <f t="shared" si="4"/>
        <v>0.17166022587318253</v>
      </c>
      <c r="H41" s="5">
        <f t="shared" si="2"/>
        <v>0.11863503254332386</v>
      </c>
    </row>
    <row r="42" spans="1:8" x14ac:dyDescent="0.3">
      <c r="A42" s="1">
        <v>40.5</v>
      </c>
      <c r="B42" s="2">
        <v>2.9220909999999999E-3</v>
      </c>
      <c r="C42" s="2">
        <v>2.9643E-3</v>
      </c>
      <c r="D42" s="2">
        <v>2.9269000000000001E-3</v>
      </c>
      <c r="E42" s="2">
        <v>2.9258000000000001E-3</v>
      </c>
      <c r="F42" s="5">
        <f t="shared" si="3"/>
        <v>1.444479312930369</v>
      </c>
      <c r="G42" s="5">
        <f t="shared" si="4"/>
        <v>0.1645739301069149</v>
      </c>
      <c r="H42" s="5">
        <f t="shared" si="2"/>
        <v>0.12692965414151658</v>
      </c>
    </row>
    <row r="43" spans="1:8" x14ac:dyDescent="0.3">
      <c r="A43" s="1">
        <v>41.5</v>
      </c>
      <c r="B43" s="2">
        <v>3.03228E-3</v>
      </c>
      <c r="C43" s="2">
        <v>3.0771000000000001E-3</v>
      </c>
      <c r="D43" s="2">
        <v>3.0368999999999999E-3</v>
      </c>
      <c r="E43" s="2">
        <v>3.0362000000000002E-3</v>
      </c>
      <c r="F43" s="5">
        <f t="shared" si="3"/>
        <v>1.4780956903716058</v>
      </c>
      <c r="G43" s="5">
        <f t="shared" si="4"/>
        <v>0.15236059994458984</v>
      </c>
      <c r="H43" s="5">
        <f t="shared" si="2"/>
        <v>0.12927566055904727</v>
      </c>
    </row>
    <row r="44" spans="1:8" x14ac:dyDescent="0.3">
      <c r="A44" s="1">
        <v>42.5</v>
      </c>
      <c r="B44" s="2">
        <v>3.160337E-3</v>
      </c>
      <c r="C44" s="2">
        <v>3.2071000000000001E-3</v>
      </c>
      <c r="D44" s="2">
        <v>3.1649999999999998E-3</v>
      </c>
      <c r="E44" s="2">
        <v>3.1641E-3</v>
      </c>
      <c r="F44" s="5">
        <f t="shared" si="3"/>
        <v>1.4796839704120268</v>
      </c>
      <c r="G44" s="5">
        <f t="shared" si="4"/>
        <v>0.1475475558460948</v>
      </c>
      <c r="H44" s="5">
        <f t="shared" si="2"/>
        <v>0.11906958023779612</v>
      </c>
    </row>
    <row r="45" spans="1:8" x14ac:dyDescent="0.3">
      <c r="A45" s="1">
        <v>43.5</v>
      </c>
      <c r="B45" s="2">
        <v>3.3002740000000002E-3</v>
      </c>
      <c r="C45" s="2">
        <v>3.3425999999999998E-3</v>
      </c>
      <c r="D45" s="2">
        <v>3.3050000000000002E-3</v>
      </c>
      <c r="E45" s="2">
        <v>3.3040999999999999E-3</v>
      </c>
      <c r="F45" s="5">
        <f t="shared" si="3"/>
        <v>1.2824995742777512</v>
      </c>
      <c r="G45" s="5">
        <f t="shared" si="4"/>
        <v>0.14320023125353742</v>
      </c>
      <c r="H45" s="5">
        <f t="shared" si="2"/>
        <v>0.11592976825560708</v>
      </c>
    </row>
    <row r="46" spans="1:8" x14ac:dyDescent="0.3">
      <c r="A46" s="1">
        <v>44.5</v>
      </c>
      <c r="B46" s="2">
        <v>3.4408640000000001E-3</v>
      </c>
      <c r="C46" s="2">
        <v>3.4840000000000001E-3</v>
      </c>
      <c r="D46" s="2">
        <v>3.4462E-3</v>
      </c>
      <c r="E46" s="2">
        <v>3.4443E-3</v>
      </c>
      <c r="F46" s="5">
        <f t="shared" si="3"/>
        <v>1.2536386209975214</v>
      </c>
      <c r="G46" s="5">
        <f t="shared" si="4"/>
        <v>0.15507732941493213</v>
      </c>
      <c r="H46" s="5">
        <f t="shared" si="2"/>
        <v>9.9858640155492395E-2</v>
      </c>
    </row>
    <row r="47" spans="1:8" x14ac:dyDescent="0.3">
      <c r="A47" s="1">
        <v>45.5</v>
      </c>
      <c r="B47" s="2">
        <v>3.5630869999999999E-3</v>
      </c>
      <c r="C47" s="2">
        <v>3.5996000000000001E-3</v>
      </c>
      <c r="D47" s="2">
        <v>3.5690000000000001E-3</v>
      </c>
      <c r="E47" s="2">
        <v>3.5666999999999999E-3</v>
      </c>
      <c r="F47" s="5">
        <f t="shared" si="3"/>
        <v>1.0247574645244395</v>
      </c>
      <c r="G47" s="5">
        <f t="shared" si="4"/>
        <v>0.16595160320251878</v>
      </c>
      <c r="H47" s="5">
        <f t="shared" si="2"/>
        <v>0.10140083584824211</v>
      </c>
    </row>
    <row r="48" spans="1:8" x14ac:dyDescent="0.3">
      <c r="A48" s="1">
        <v>46.5</v>
      </c>
      <c r="B48" s="2">
        <v>3.6470140000000001E-3</v>
      </c>
      <c r="C48" s="2">
        <v>3.6801E-3</v>
      </c>
      <c r="D48" s="2">
        <v>3.6529000000000002E-3</v>
      </c>
      <c r="E48" s="2">
        <v>3.6500999999999999E-3</v>
      </c>
      <c r="F48" s="5">
        <f t="shared" si="3"/>
        <v>0.90720792407157358</v>
      </c>
      <c r="G48" s="5">
        <f t="shared" si="4"/>
        <v>0.16139230614415911</v>
      </c>
      <c r="H48" s="5">
        <f t="shared" si="2"/>
        <v>8.4617169004563841E-2</v>
      </c>
    </row>
    <row r="49" spans="1:8" x14ac:dyDescent="0.3">
      <c r="A49" s="1">
        <v>47.5</v>
      </c>
      <c r="B49" s="2">
        <v>3.6808330000000001E-3</v>
      </c>
      <c r="C49" s="2">
        <v>3.7077999999999998E-3</v>
      </c>
      <c r="D49" s="2">
        <v>3.6865999999999999E-3</v>
      </c>
      <c r="E49" s="2">
        <v>3.6841E-3</v>
      </c>
      <c r="F49" s="5">
        <f t="shared" si="3"/>
        <v>0.73263307517619225</v>
      </c>
      <c r="G49" s="5">
        <f t="shared" si="4"/>
        <v>0.15667649143549234</v>
      </c>
      <c r="H49" s="5">
        <f t="shared" si="2"/>
        <v>8.8757082975510215E-2</v>
      </c>
    </row>
    <row r="50" spans="1:8" x14ac:dyDescent="0.3">
      <c r="A50" s="1">
        <v>48.5</v>
      </c>
      <c r="B50" s="2">
        <v>3.659725E-3</v>
      </c>
      <c r="C50" s="2">
        <v>3.6830999999999999E-3</v>
      </c>
      <c r="D50" s="2">
        <v>3.6656000000000002E-3</v>
      </c>
      <c r="E50" s="2">
        <v>3.6627000000000001E-3</v>
      </c>
      <c r="F50" s="5">
        <f t="shared" si="3"/>
        <v>0.63870919263058212</v>
      </c>
      <c r="G50" s="5">
        <f t="shared" si="4"/>
        <v>0.16053118745260608</v>
      </c>
      <c r="H50" s="5">
        <f t="shared" si="2"/>
        <v>8.1290260880262366E-2</v>
      </c>
    </row>
    <row r="51" spans="1:8" x14ac:dyDescent="0.3">
      <c r="A51" s="1">
        <v>49.5</v>
      </c>
      <c r="B51" s="2">
        <v>3.5831109999999999E-3</v>
      </c>
      <c r="C51" s="2">
        <v>3.6021E-3</v>
      </c>
      <c r="D51" s="2">
        <v>3.5888999999999999E-3</v>
      </c>
      <c r="E51" s="2">
        <v>3.5863000000000002E-3</v>
      </c>
      <c r="F51" s="5">
        <f t="shared" si="3"/>
        <v>0.52995846346932662</v>
      </c>
      <c r="G51" s="5">
        <f t="shared" si="4"/>
        <v>0.16156351282445858</v>
      </c>
      <c r="H51" s="5">
        <f t="shared" si="2"/>
        <v>8.9000871030786577E-2</v>
      </c>
    </row>
    <row r="52" spans="1:8" x14ac:dyDescent="0.3">
      <c r="A52" s="1">
        <v>50.5</v>
      </c>
      <c r="B52" s="2">
        <v>3.455517E-3</v>
      </c>
      <c r="C52" s="2">
        <v>3.4702000000000001E-3</v>
      </c>
      <c r="D52" s="2">
        <v>3.4608E-3</v>
      </c>
      <c r="E52" s="2">
        <v>3.4583999999999999E-3</v>
      </c>
      <c r="F52" s="5">
        <f t="shared" si="3"/>
        <v>0.42491470885543947</v>
      </c>
      <c r="G52" s="5">
        <f t="shared" si="4"/>
        <v>0.15288595020659379</v>
      </c>
      <c r="H52" s="5">
        <f t="shared" si="2"/>
        <v>8.3431799062183565E-2</v>
      </c>
    </row>
    <row r="53" spans="1:8" x14ac:dyDescent="0.3">
      <c r="A53" s="1">
        <v>51.5</v>
      </c>
      <c r="B53" s="2">
        <v>3.286794E-3</v>
      </c>
      <c r="C53" s="2">
        <v>3.2983999999999999E-3</v>
      </c>
      <c r="D53" s="2">
        <v>3.2916E-3</v>
      </c>
      <c r="E53" s="2">
        <v>3.2897999999999998E-3</v>
      </c>
      <c r="F53" s="5">
        <f t="shared" si="3"/>
        <v>0.35311005192293354</v>
      </c>
      <c r="G53" s="5">
        <f t="shared" si="4"/>
        <v>0.1462215155558777</v>
      </c>
      <c r="H53" s="5">
        <f t="shared" si="2"/>
        <v>9.1456902988129585E-2</v>
      </c>
    </row>
    <row r="54" spans="1:8" x14ac:dyDescent="0.3">
      <c r="A54" s="1">
        <v>52.5</v>
      </c>
      <c r="B54" s="2">
        <v>3.0886519999999999E-3</v>
      </c>
      <c r="C54" s="2">
        <v>3.0972E-3</v>
      </c>
      <c r="D54" s="2">
        <v>3.0929999999999998E-3</v>
      </c>
      <c r="E54" s="2">
        <v>3.0913E-3</v>
      </c>
      <c r="F54" s="5">
        <f t="shared" si="3"/>
        <v>0.27675503747266461</v>
      </c>
      <c r="G54" s="5">
        <f t="shared" si="4"/>
        <v>0.14077338593017075</v>
      </c>
      <c r="H54" s="5">
        <f t="shared" si="2"/>
        <v>8.5733193639159211E-2</v>
      </c>
    </row>
    <row r="55" spans="1:8" x14ac:dyDescent="0.3">
      <c r="A55" s="1">
        <v>53.5</v>
      </c>
      <c r="B55" s="2">
        <v>2.8717460000000001E-3</v>
      </c>
      <c r="C55" s="2">
        <v>2.8785999999999998E-3</v>
      </c>
      <c r="D55" s="2">
        <v>2.8755999999999999E-3</v>
      </c>
      <c r="E55" s="2">
        <v>2.8744E-3</v>
      </c>
      <c r="F55" s="5">
        <f t="shared" si="3"/>
        <v>0.23867013308278562</v>
      </c>
      <c r="G55" s="5">
        <f t="shared" si="4"/>
        <v>0.13420406957995734</v>
      </c>
      <c r="H55" s="5">
        <f t="shared" si="2"/>
        <v>9.2417644178843794E-2</v>
      </c>
    </row>
    <row r="56" spans="1:8" x14ac:dyDescent="0.3">
      <c r="A56" s="1">
        <v>54.5</v>
      </c>
      <c r="B56" s="2">
        <v>2.6456520000000001E-3</v>
      </c>
      <c r="C56" s="2">
        <v>2.6502000000000001E-3</v>
      </c>
      <c r="D56" s="2">
        <v>2.6491000000000002E-3</v>
      </c>
      <c r="E56" s="2">
        <v>2.6478999999999999E-3</v>
      </c>
      <c r="F56" s="5">
        <f t="shared" si="3"/>
        <v>0.17190469494854366</v>
      </c>
      <c r="G56" s="5">
        <f t="shared" si="4"/>
        <v>0.13032704225650615</v>
      </c>
      <c r="H56" s="5">
        <f t="shared" si="2"/>
        <v>8.4969602956097567E-2</v>
      </c>
    </row>
    <row r="57" spans="1:8" x14ac:dyDescent="0.3">
      <c r="A57" s="1">
        <v>55.5</v>
      </c>
      <c r="B57" s="2">
        <v>2.418211E-3</v>
      </c>
      <c r="C57" s="2">
        <v>2.4220999999999999E-3</v>
      </c>
      <c r="D57" s="2">
        <v>2.4212999999999999E-3</v>
      </c>
      <c r="E57" s="2">
        <v>2.4204999999999999E-3</v>
      </c>
      <c r="F57" s="5">
        <f t="shared" si="3"/>
        <v>0.16082136753161613</v>
      </c>
      <c r="G57" s="5">
        <f t="shared" si="4"/>
        <v>0.12773905999103885</v>
      </c>
      <c r="H57" s="5">
        <f t="shared" si="2"/>
        <v>9.4656752450461568E-2</v>
      </c>
    </row>
    <row r="58" spans="1:8" x14ac:dyDescent="0.3">
      <c r="A58" s="1">
        <v>56.5</v>
      </c>
      <c r="B58" s="2">
        <v>2.1951539999999999E-3</v>
      </c>
      <c r="C58" s="2">
        <v>2.1974999999999998E-3</v>
      </c>
      <c r="D58" s="2">
        <v>2.1978000000000002E-3</v>
      </c>
      <c r="E58" s="2">
        <v>2.1971E-3</v>
      </c>
      <c r="F58" s="5">
        <f t="shared" si="3"/>
        <v>0.10687177300543471</v>
      </c>
      <c r="G58" s="5">
        <f t="shared" si="4"/>
        <v>0.12053824014170988</v>
      </c>
      <c r="H58" s="5">
        <f t="shared" si="2"/>
        <v>8.8649816823793692E-2</v>
      </c>
    </row>
    <row r="59" spans="1:8" x14ac:dyDescent="0.3">
      <c r="A59" s="1">
        <v>57.5</v>
      </c>
      <c r="B59" s="2">
        <v>1.9807459999999998E-3</v>
      </c>
      <c r="C59" s="2">
        <v>1.9829000000000001E-3</v>
      </c>
      <c r="D59" s="2">
        <v>1.9830999999999998E-3</v>
      </c>
      <c r="E59" s="2">
        <v>1.9826000000000002E-3</v>
      </c>
      <c r="F59" s="5">
        <f t="shared" si="3"/>
        <v>0.10874690646858198</v>
      </c>
      <c r="G59" s="5">
        <f t="shared" si="4"/>
        <v>0.1188441122688122</v>
      </c>
      <c r="H59" s="5">
        <f t="shared" si="2"/>
        <v>9.3601097768236663E-2</v>
      </c>
    </row>
    <row r="60" spans="1:8" x14ac:dyDescent="0.3">
      <c r="A60" s="1">
        <v>58.5</v>
      </c>
      <c r="B60" s="2">
        <v>1.777626E-3</v>
      </c>
      <c r="C60" s="2">
        <v>1.7788000000000001E-3</v>
      </c>
      <c r="D60" s="2">
        <v>1.7796999999999999E-3</v>
      </c>
      <c r="E60" s="2">
        <v>1.7792000000000001E-3</v>
      </c>
      <c r="F60" s="5">
        <f t="shared" si="3"/>
        <v>6.6043138432947401E-2</v>
      </c>
      <c r="G60" s="5">
        <f t="shared" si="4"/>
        <v>0.11667246091133787</v>
      </c>
      <c r="H60" s="5">
        <f t="shared" si="2"/>
        <v>8.8545059534461679E-2</v>
      </c>
    </row>
    <row r="61" spans="1:8" x14ac:dyDescent="0.3">
      <c r="A61" s="1">
        <v>59.5</v>
      </c>
      <c r="B61" s="2">
        <v>1.587314E-3</v>
      </c>
      <c r="C61" s="2">
        <v>1.5885000000000001E-3</v>
      </c>
      <c r="D61" s="2">
        <v>1.5892E-3</v>
      </c>
      <c r="E61" s="2">
        <v>1.5888E-3</v>
      </c>
      <c r="F61" s="5">
        <f t="shared" si="3"/>
        <v>7.471741570981294E-2</v>
      </c>
      <c r="G61" s="5">
        <f t="shared" si="4"/>
        <v>0.11881707085050763</v>
      </c>
      <c r="H61" s="5">
        <f t="shared" si="2"/>
        <v>9.3617267912970981E-2</v>
      </c>
    </row>
    <row r="62" spans="1:8" x14ac:dyDescent="0.3">
      <c r="A62" s="1">
        <v>60.5</v>
      </c>
      <c r="B62" s="2">
        <v>1.410833E-3</v>
      </c>
      <c r="C62" s="2">
        <v>1.4113000000000001E-3</v>
      </c>
      <c r="D62" s="2">
        <v>1.4124000000000001E-3</v>
      </c>
      <c r="E62" s="2">
        <v>1.4120999999999999E-3</v>
      </c>
      <c r="F62" s="5">
        <f t="shared" si="3"/>
        <v>3.3101011955349868E-2</v>
      </c>
      <c r="G62" s="5">
        <f t="shared" si="4"/>
        <v>0.11106913433411858</v>
      </c>
      <c r="H62" s="5">
        <f t="shared" si="2"/>
        <v>8.9805100958084694E-2</v>
      </c>
    </row>
    <row r="63" spans="1:8" x14ac:dyDescent="0.3">
      <c r="A63" s="1">
        <v>61.5</v>
      </c>
      <c r="B63" s="2">
        <v>1.2487259999999999E-3</v>
      </c>
      <c r="C63" s="2">
        <v>1.2493999999999999E-3</v>
      </c>
      <c r="D63" s="2">
        <v>1.2501999999999999E-3</v>
      </c>
      <c r="E63" s="2">
        <v>1.2499E-3</v>
      </c>
      <c r="F63" s="5">
        <f t="shared" si="3"/>
        <v>5.3975011331552913E-2</v>
      </c>
      <c r="G63" s="5">
        <f t="shared" si="4"/>
        <v>0.11804030668056686</v>
      </c>
      <c r="H63" s="5">
        <f t="shared" si="2"/>
        <v>9.4015820924697735E-2</v>
      </c>
    </row>
    <row r="64" spans="1:8" x14ac:dyDescent="0.3">
      <c r="A64" s="1">
        <v>62.5</v>
      </c>
      <c r="B64" s="2">
        <v>1.1007910000000001E-3</v>
      </c>
      <c r="C64" s="2">
        <v>1.1008999999999999E-3</v>
      </c>
      <c r="D64" s="2">
        <v>1.1021E-3</v>
      </c>
      <c r="E64" s="2">
        <v>1.1018E-3</v>
      </c>
      <c r="F64" s="5">
        <f t="shared" si="3"/>
        <v>9.9019704921099461E-3</v>
      </c>
      <c r="G64" s="5">
        <f t="shared" si="4"/>
        <v>0.11891448967151774</v>
      </c>
      <c r="H64" s="5">
        <f t="shared" si="2"/>
        <v>9.1661359876660242E-2</v>
      </c>
    </row>
    <row r="65" spans="1:8" x14ac:dyDescent="0.3">
      <c r="A65" s="1">
        <v>63.5</v>
      </c>
      <c r="B65" s="2">
        <v>9.6655139999999998E-4</v>
      </c>
      <c r="C65" s="2">
        <v>9.6686000000000005E-4</v>
      </c>
      <c r="D65" s="2">
        <v>9.6765999999999996E-4</v>
      </c>
      <c r="E65" s="2">
        <v>9.6750000000000004E-4</v>
      </c>
      <c r="F65" s="5">
        <f t="shared" si="3"/>
        <v>3.1927945063259244E-2</v>
      </c>
      <c r="G65" s="5">
        <f t="shared" si="4"/>
        <v>0.11469643518182693</v>
      </c>
      <c r="H65" s="5">
        <f t="shared" si="2"/>
        <v>9.8142737158113391E-2</v>
      </c>
    </row>
    <row r="66" spans="1:8" x14ac:dyDescent="0.3">
      <c r="A66" s="1">
        <v>64.5</v>
      </c>
      <c r="B66" s="2">
        <v>8.4547180000000004E-4</v>
      </c>
      <c r="C66" s="2">
        <v>8.4537999999999996E-4</v>
      </c>
      <c r="D66" s="2">
        <v>8.4643999999999995E-4</v>
      </c>
      <c r="E66" s="2">
        <v>8.4623000000000001E-4</v>
      </c>
      <c r="F66" s="5">
        <f t="shared" ref="F66:F81" si="5">100*(C66/B66-1)</f>
        <v>-1.0857842922740168E-2</v>
      </c>
      <c r="G66" s="5">
        <f t="shared" ref="G66:G81" si="6">100*(D66/B66-1)</f>
        <v>0.11451594245956986</v>
      </c>
      <c r="H66" s="5">
        <f t="shared" si="2"/>
        <v>8.9677739695148695E-2</v>
      </c>
    </row>
    <row r="67" spans="1:8" x14ac:dyDescent="0.3">
      <c r="A67" s="1">
        <v>65.5</v>
      </c>
      <c r="B67" s="2">
        <v>7.3691649999999996E-4</v>
      </c>
      <c r="C67" s="2">
        <v>7.3700000000000002E-4</v>
      </c>
      <c r="D67" s="2">
        <v>7.3775000000000002E-4</v>
      </c>
      <c r="E67" s="2">
        <v>7.3762999999999997E-4</v>
      </c>
      <c r="F67" s="5">
        <f t="shared" si="5"/>
        <v>1.1330998830949568E-2</v>
      </c>
      <c r="G67" s="5">
        <f t="shared" si="6"/>
        <v>0.11310643743220883</v>
      </c>
      <c r="H67" s="5">
        <f t="shared" ref="H67:H81" si="7">100*(E67/B67-1)</f>
        <v>9.6822367255988695E-2</v>
      </c>
    </row>
    <row r="68" spans="1:8" x14ac:dyDescent="0.3">
      <c r="A68" s="1">
        <v>66.5</v>
      </c>
      <c r="B68" s="2">
        <v>6.4014989999999999E-4</v>
      </c>
      <c r="C68" s="2">
        <v>6.3993000000000003E-4</v>
      </c>
      <c r="D68" s="2">
        <v>6.4086999999999998E-4</v>
      </c>
      <c r="E68" s="2">
        <v>6.4070999999999996E-4</v>
      </c>
      <c r="F68" s="5">
        <f t="shared" si="5"/>
        <v>-3.435132927459561E-2</v>
      </c>
      <c r="G68" s="5">
        <f t="shared" si="6"/>
        <v>0.1124892779019504</v>
      </c>
      <c r="H68" s="5">
        <f t="shared" si="7"/>
        <v>8.7495131999548725E-2</v>
      </c>
    </row>
    <row r="69" spans="1:8" x14ac:dyDescent="0.3">
      <c r="A69" s="1">
        <v>67.5</v>
      </c>
      <c r="B69" s="2">
        <v>5.5435870000000004E-4</v>
      </c>
      <c r="C69" s="2">
        <v>5.5431000000000002E-4</v>
      </c>
      <c r="D69" s="2">
        <v>5.5497999999999995E-4</v>
      </c>
      <c r="E69" s="2">
        <v>5.5489000000000005E-4</v>
      </c>
      <c r="F69" s="5">
        <f t="shared" si="5"/>
        <v>-8.7849257168759465E-3</v>
      </c>
      <c r="G69" s="5">
        <f t="shared" si="6"/>
        <v>0.11207544862197327</v>
      </c>
      <c r="H69" s="5">
        <f t="shared" si="7"/>
        <v>9.5840472964536794E-2</v>
      </c>
    </row>
    <row r="70" spans="1:8" x14ac:dyDescent="0.3">
      <c r="A70" s="1">
        <v>68.5</v>
      </c>
      <c r="B70" s="2">
        <v>4.7867919999999999E-4</v>
      </c>
      <c r="C70" s="2">
        <v>4.7842000000000002E-4</v>
      </c>
      <c r="D70" s="2">
        <v>4.7920999999999999E-4</v>
      </c>
      <c r="E70" s="2">
        <v>4.7909E-4</v>
      </c>
      <c r="F70" s="5">
        <f t="shared" si="5"/>
        <v>-5.4148999998326897E-2</v>
      </c>
      <c r="G70" s="5">
        <f t="shared" si="6"/>
        <v>0.11088846141633635</v>
      </c>
      <c r="H70" s="5">
        <f t="shared" si="7"/>
        <v>8.5819479935622667E-2</v>
      </c>
    </row>
    <row r="71" spans="1:8" x14ac:dyDescent="0.3">
      <c r="A71" s="1">
        <v>69.5</v>
      </c>
      <c r="B71" s="2">
        <v>4.122277E-4</v>
      </c>
      <c r="C71" s="2">
        <v>4.1213000000000003E-4</v>
      </c>
      <c r="D71" s="2">
        <v>4.1268000000000001E-4</v>
      </c>
      <c r="E71" s="2">
        <v>4.1261999999999999E-4</v>
      </c>
      <c r="F71" s="5">
        <f t="shared" si="5"/>
        <v>-2.3700493683465051E-2</v>
      </c>
      <c r="G71" s="5">
        <f t="shared" si="6"/>
        <v>0.10972091395120565</v>
      </c>
      <c r="H71" s="5">
        <f t="shared" si="7"/>
        <v>9.5165851300138549E-2</v>
      </c>
    </row>
    <row r="72" spans="1:8" x14ac:dyDescent="0.3">
      <c r="A72" s="1">
        <v>70.5</v>
      </c>
      <c r="B72" s="2">
        <v>3.5412699999999998E-4</v>
      </c>
      <c r="C72" s="2">
        <v>3.5387E-4</v>
      </c>
      <c r="D72" s="2">
        <v>3.5451999999999999E-4</v>
      </c>
      <c r="E72" s="2">
        <v>3.5441999999999998E-4</v>
      </c>
      <c r="F72" s="5">
        <f t="shared" si="5"/>
        <v>-7.2572834039763556E-2</v>
      </c>
      <c r="G72" s="5">
        <f t="shared" si="6"/>
        <v>0.11097713532151054</v>
      </c>
      <c r="H72" s="5">
        <f t="shared" si="7"/>
        <v>8.2738678496707685E-2</v>
      </c>
    </row>
    <row r="73" spans="1:8" x14ac:dyDescent="0.3">
      <c r="A73" s="1">
        <v>71.5</v>
      </c>
      <c r="B73" s="2">
        <v>3.0352949999999998E-4</v>
      </c>
      <c r="C73" s="2">
        <v>3.0341999999999999E-4</v>
      </c>
      <c r="D73" s="2">
        <v>3.0385999999999998E-4</v>
      </c>
      <c r="E73" s="2">
        <v>3.0382E-4</v>
      </c>
      <c r="F73" s="5">
        <f t="shared" si="5"/>
        <v>-3.6075570908256083E-2</v>
      </c>
      <c r="G73" s="5">
        <f t="shared" si="6"/>
        <v>0.10888562726192319</v>
      </c>
      <c r="H73" s="5">
        <f t="shared" si="7"/>
        <v>9.5707336519201824E-2</v>
      </c>
    </row>
    <row r="74" spans="1:8" x14ac:dyDescent="0.3">
      <c r="A74" s="1">
        <v>72.5</v>
      </c>
      <c r="B74" s="2">
        <v>2.5961549999999999E-4</v>
      </c>
      <c r="C74" s="2">
        <v>2.5937999999999997E-4</v>
      </c>
      <c r="D74" s="2">
        <v>2.5989999999999997E-4</v>
      </c>
      <c r="E74" s="2">
        <v>2.5983000000000001E-4</v>
      </c>
      <c r="F74" s="5">
        <f t="shared" si="5"/>
        <v>-9.0711070795090887E-2</v>
      </c>
      <c r="G74" s="5">
        <f t="shared" si="6"/>
        <v>0.10958513648067214</v>
      </c>
      <c r="H74" s="5">
        <f t="shared" si="7"/>
        <v>8.2622185501257661E-2</v>
      </c>
    </row>
    <row r="75" spans="1:8" x14ac:dyDescent="0.3">
      <c r="A75" s="1">
        <v>73.5</v>
      </c>
      <c r="B75" s="2">
        <v>2.217035E-4</v>
      </c>
      <c r="C75" s="2">
        <v>2.2160999999999999E-4</v>
      </c>
      <c r="D75" s="2">
        <v>2.2195E-4</v>
      </c>
      <c r="E75" s="2">
        <v>2.2190999999999999E-4</v>
      </c>
      <c r="F75" s="5">
        <f t="shared" si="5"/>
        <v>-4.2173443360171703E-2</v>
      </c>
      <c r="G75" s="5">
        <f t="shared" si="6"/>
        <v>0.11118453249496785</v>
      </c>
      <c r="H75" s="5">
        <f t="shared" si="7"/>
        <v>9.3142417688496515E-2</v>
      </c>
    </row>
    <row r="76" spans="1:8" x14ac:dyDescent="0.3">
      <c r="A76" s="1">
        <v>74.5</v>
      </c>
      <c r="B76" s="2">
        <v>1.8907390000000001E-4</v>
      </c>
      <c r="C76" s="2">
        <v>1.8888999999999999E-4</v>
      </c>
      <c r="D76" s="2">
        <v>1.8928E-4</v>
      </c>
      <c r="E76" s="2">
        <v>1.8923E-4</v>
      </c>
      <c r="F76" s="5">
        <f t="shared" si="5"/>
        <v>-9.7263556736293388E-2</v>
      </c>
      <c r="G76" s="5">
        <f t="shared" si="6"/>
        <v>0.10900499751684833</v>
      </c>
      <c r="H76" s="5">
        <f t="shared" si="7"/>
        <v>8.2560311074142412E-2</v>
      </c>
    </row>
    <row r="77" spans="1:8" x14ac:dyDescent="0.3">
      <c r="A77" s="1">
        <v>75.5</v>
      </c>
      <c r="B77" s="2">
        <v>1.610611E-4</v>
      </c>
      <c r="C77" s="2">
        <v>1.6097999999999999E-4</v>
      </c>
      <c r="D77" s="2">
        <v>1.6123999999999999E-4</v>
      </c>
      <c r="E77" s="2">
        <v>1.6121000000000001E-4</v>
      </c>
      <c r="F77" s="5">
        <f t="shared" si="5"/>
        <v>-5.0353561474503206E-2</v>
      </c>
      <c r="G77" s="5">
        <f t="shared" si="6"/>
        <v>0.11107585878897819</v>
      </c>
      <c r="H77" s="5">
        <f t="shared" si="7"/>
        <v>9.2449387220128187E-2</v>
      </c>
    </row>
    <row r="78" spans="1:8" x14ac:dyDescent="0.3">
      <c r="A78" s="1">
        <v>76.5</v>
      </c>
      <c r="B78" s="2">
        <v>1.370713E-4</v>
      </c>
      <c r="C78" s="2">
        <v>1.3692000000000001E-4</v>
      </c>
      <c r="D78" s="2">
        <v>1.3721999999999999E-4</v>
      </c>
      <c r="E78" s="2">
        <v>1.3718000000000001E-4</v>
      </c>
      <c r="F78" s="5">
        <f t="shared" si="5"/>
        <v>-0.11038050999734317</v>
      </c>
      <c r="G78" s="5">
        <f t="shared" si="6"/>
        <v>0.10848368695708377</v>
      </c>
      <c r="H78" s="5">
        <f t="shared" si="7"/>
        <v>7.9301794029840167E-2</v>
      </c>
    </row>
    <row r="79" spans="1:8" x14ac:dyDescent="0.3">
      <c r="A79" s="1">
        <v>77.5</v>
      </c>
      <c r="B79" s="2">
        <v>1.165678E-4</v>
      </c>
      <c r="C79" s="2">
        <v>1.1650999999999999E-4</v>
      </c>
      <c r="D79" s="2">
        <v>1.167E-4</v>
      </c>
      <c r="E79" s="2">
        <v>1.1668E-4</v>
      </c>
      <c r="F79" s="5">
        <f t="shared" si="5"/>
        <v>-4.9584876784158904E-2</v>
      </c>
      <c r="G79" s="5">
        <f t="shared" si="6"/>
        <v>0.11341039292154242</v>
      </c>
      <c r="H79" s="5">
        <f t="shared" si="7"/>
        <v>9.6252996110424149E-2</v>
      </c>
    </row>
    <row r="80" spans="1:8" x14ac:dyDescent="0.3">
      <c r="A80" s="1">
        <v>78.5</v>
      </c>
      <c r="B80" s="2">
        <v>9.9071549999999998E-5</v>
      </c>
      <c r="C80" s="2">
        <v>9.8961000000000003E-5</v>
      </c>
      <c r="D80" s="2">
        <v>9.9179999999999996E-5</v>
      </c>
      <c r="E80" s="2">
        <v>9.9149999999999998E-5</v>
      </c>
      <c r="F80" s="5">
        <f t="shared" si="5"/>
        <v>-0.11158602040646226</v>
      </c>
      <c r="G80" s="5">
        <f t="shared" si="6"/>
        <v>0.10946634023591972</v>
      </c>
      <c r="H80" s="5">
        <f t="shared" si="7"/>
        <v>7.9185194942432702E-2</v>
      </c>
    </row>
    <row r="81" spans="1:8" x14ac:dyDescent="0.3">
      <c r="A81" s="1">
        <v>79.5</v>
      </c>
      <c r="B81" s="2">
        <v>8.4160849999999999E-5</v>
      </c>
      <c r="C81" s="2">
        <v>8.4116999999999994E-5</v>
      </c>
      <c r="D81" s="2">
        <v>8.4252999999999994E-5</v>
      </c>
      <c r="E81" s="2">
        <v>8.4239000000000004E-5</v>
      </c>
      <c r="F81" s="5">
        <f t="shared" si="5"/>
        <v>-5.2102610655668791E-2</v>
      </c>
      <c r="G81" s="5">
        <f t="shared" si="6"/>
        <v>0.10949271543716499</v>
      </c>
      <c r="H81" s="5">
        <f t="shared" si="7"/>
        <v>9.285790245703307E-2</v>
      </c>
    </row>
    <row r="82" spans="1:8" x14ac:dyDescent="0.3">
      <c r="A82" s="1" t="s">
        <v>2</v>
      </c>
      <c r="F82" s="3" cm="1">
        <f t="array" ref="F82">MAX(ABS(F2:F81))</f>
        <v>1.4796839704120268</v>
      </c>
      <c r="G82" s="3" cm="1">
        <f t="array" ref="G82">MAX(ABS(G2:G81))</f>
        <v>0.17166022587318253</v>
      </c>
      <c r="H82" s="3" cm="1">
        <f t="array" ref="H82">MAX(ABS(H2:H81))</f>
        <v>0.12927566055904727</v>
      </c>
    </row>
    <row r="83" spans="1:8" x14ac:dyDescent="0.3">
      <c r="A83" s="1" t="s">
        <v>3</v>
      </c>
      <c r="F83" s="3" cm="1">
        <f t="array" ref="F83">AVERAGE(ABS(F2:F81))</f>
        <v>0.64967736727353143</v>
      </c>
      <c r="G83" s="3" cm="1">
        <f t="array" ref="G83">AVERAGE(ABS(G2:G81))</f>
        <v>0.12184430967897783</v>
      </c>
      <c r="H83" s="3" cm="1">
        <f t="array" ref="H83">AVERAGE(ABS(H2:H81))</f>
        <v>9.5130366134342226E-2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Korkin, Sergey V. (GSFC-613.0)[UNIVERSITY OF MARYLAND </cp:lastModifiedBy>
  <dcterms:created xsi:type="dcterms:W3CDTF">2026-01-15T16:11:45Z</dcterms:created>
  <dcterms:modified xsi:type="dcterms:W3CDTF">2026-01-19T19:51:23Z</dcterms:modified>
</cp:coreProperties>
</file>