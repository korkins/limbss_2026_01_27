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_conf_pubs_works\2026\01_limb_rtm\src_python\tests\"/>
    </mc:Choice>
  </mc:AlternateContent>
  <xr:revisionPtr revIDLastSave="0" documentId="13_ncr:1_{67D4EDF9-F13B-463C-9F26-E2F51C909E45}" xr6:coauthVersionLast="47" xr6:coauthVersionMax="47" xr10:uidLastSave="{00000000-0000-0000-0000-000000000000}"/>
  <bookViews>
    <workbookView xWindow="-28898" yWindow="-4395" windowWidth="28996" windowHeight="15675" xr2:uid="{8B828620-8A12-4B21-88D4-44FABB81912A}"/>
  </bookViews>
  <sheets>
    <sheet name="I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2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H82" i="1" l="1" a="1"/>
  <c r="H82" i="1" s="1"/>
  <c r="H83" i="1" a="1"/>
  <c r="H83" i="1" s="1"/>
  <c r="F82" i="1" a="1"/>
  <c r="F82" i="1" s="1"/>
  <c r="F83" i="1" a="1"/>
  <c r="F83" i="1" s="1"/>
  <c r="G82" i="1" a="1"/>
  <c r="G82" i="1" s="1"/>
  <c r="G83" i="1" a="1"/>
  <c r="G8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<sst xmlns="http://schemas.openxmlformats.org/spreadsheetml/2006/main" count="10" uniqueCount="10">
  <si>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hkm_tp</t>
  </si>
  <si>
    <t>DZ</t>
  </si>
  <si>
    <t>MAX</t>
  </si>
  <si>
    <t>AVR</t>
  </si>
  <si>
    <t>SK(0pnts)</t>
  </si>
  <si>
    <t>SK(1pnt)</t>
  </si>
  <si>
    <t>Rerr_1pnt</t>
  </si>
  <si>
    <t>Rerr_0pnt</t>
  </si>
  <si>
    <t>SK(2pnts)</t>
  </si>
  <si>
    <t>Rerr_2pnt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</si>
</sst>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(SK/DZ - 1)*100%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Iss!$G$2:$G$81</c:f>
              <c:numCache>
                <c:formatCode>0.00</c:formatCode>
                <c:ptCount val="80"/>
                <c:pt idx="0">
                  <c:v>6.6089653156420347E-2</c:v>
                </c:pt>
                <c:pt idx="1">
                  <c:v>6.6922571847061185E-2</c:v>
                </c:pt>
                <c:pt idx="2">
                  <c:v>6.7733681200143891E-2</c:v>
                </c:pt>
                <c:pt idx="3">
                  <c:v>6.7275468125127524E-2</c:v>
                </c:pt>
                <c:pt idx="4">
                  <c:v>6.8049094328426207E-2</c:v>
                </c:pt>
                <c:pt idx="5">
                  <c:v>7.0026290572244854E-2</c:v>
                </c:pt>
                <c:pt idx="6">
                  <c:v>7.3179656055621933E-2</c:v>
                </c:pt>
                <c:pt idx="7">
                  <c:v>7.7480902168258758E-2</c:v>
                </c:pt>
                <c:pt idx="8">
                  <c:v>8.4100247495011438E-2</c:v>
                </c:pt>
                <c:pt idx="9">
                  <c:v>9.4170938133264492E-2</c:v>
                </c:pt>
                <c:pt idx="10">
                  <c:v>0.10523453111512815</c:v>
                </c:pt>
                <c:pt idx="11">
                  <c:v>0.1149074877471179</c:v>
                </c:pt>
                <c:pt idx="12">
                  <c:v>0.11972289380697276</c:v>
                </c:pt>
                <c:pt idx="13">
                  <c:v>0.11634738333583527</c:v>
                </c:pt>
                <c:pt idx="14">
                  <c:v>0.10273855321287773</c:v>
                </c:pt>
                <c:pt idx="15">
                  <c:v>8.8281232315456926E-2</c:v>
                </c:pt>
                <c:pt idx="16">
                  <c:v>7.7568181307197115E-2</c:v>
                </c:pt>
                <c:pt idx="17">
                  <c:v>7.6216095045977816E-2</c:v>
                </c:pt>
                <c:pt idx="18">
                  <c:v>8.2087034746436416E-2</c:v>
                </c:pt>
                <c:pt idx="19">
                  <c:v>9.1022869495982484E-2</c:v>
                </c:pt>
                <c:pt idx="20">
                  <c:v>9.8857900490800787E-2</c:v>
                </c:pt>
                <c:pt idx="21">
                  <c:v>0.10217942707393401</c:v>
                </c:pt>
                <c:pt idx="22">
                  <c:v>0.1055700784234892</c:v>
                </c:pt>
                <c:pt idx="23">
                  <c:v>0.10762689343610798</c:v>
                </c:pt>
                <c:pt idx="24">
                  <c:v>0.1093222023454743</c:v>
                </c:pt>
                <c:pt idx="25">
                  <c:v>0.10876891966420388</c:v>
                </c:pt>
                <c:pt idx="26">
                  <c:v>0.11006787518970107</c:v>
                </c:pt>
                <c:pt idx="27">
                  <c:v>0.10978756106934107</c:v>
                </c:pt>
                <c:pt idx="28">
                  <c:v>0.11118298698147289</c:v>
                </c:pt>
                <c:pt idx="29">
                  <c:v>0.11008514749162313</c:v>
                </c:pt>
                <c:pt idx="30">
                  <c:v>0.11041959445892147</c:v>
                </c:pt>
                <c:pt idx="31">
                  <c:v>0.1097818437719944</c:v>
                </c:pt>
                <c:pt idx="32">
                  <c:v>0.11088581928779817</c:v>
                </c:pt>
                <c:pt idx="33">
                  <c:v>0.11080926508435507</c:v>
                </c:pt>
                <c:pt idx="34">
                  <c:v>0.10907768755301639</c:v>
                </c:pt>
                <c:pt idx="35">
                  <c:v>0.10971428571429076</c:v>
                </c:pt>
                <c:pt idx="36">
                  <c:v>0.10870690547675199</c:v>
                </c:pt>
                <c:pt idx="37">
                  <c:v>0.1114173459215495</c:v>
                </c:pt>
                <c:pt idx="38">
                  <c:v>0.10628404410788495</c:v>
                </c:pt>
                <c:pt idx="39">
                  <c:v>0.10532651218777556</c:v>
                </c:pt>
                <c:pt idx="40">
                  <c:v>0.11073253833049357</c:v>
                </c:pt>
                <c:pt idx="41">
                  <c:v>0.11566265060241054</c:v>
                </c:pt>
                <c:pt idx="42">
                  <c:v>0.1089930135478312</c:v>
                </c:pt>
                <c:pt idx="43">
                  <c:v>0.10962211164209368</c:v>
                </c:pt>
                <c:pt idx="44">
                  <c:v>0.10849607744951584</c:v>
                </c:pt>
                <c:pt idx="45">
                  <c:v>0.10832025117739619</c:v>
                </c:pt>
                <c:pt idx="46">
                  <c:v>0.10801622014060541</c:v>
                </c:pt>
                <c:pt idx="47">
                  <c:v>0.10980893245753354</c:v>
                </c:pt>
                <c:pt idx="48">
                  <c:v>0.10801566227101045</c:v>
                </c:pt>
                <c:pt idx="49">
                  <c:v>0.10905125408944283</c:v>
                </c:pt>
                <c:pt idx="50">
                  <c:v>0.10860556174798752</c:v>
                </c:pt>
                <c:pt idx="51">
                  <c:v>0.10952902519165697</c:v>
                </c:pt>
                <c:pt idx="52">
                  <c:v>0.10896807235480921</c:v>
                </c:pt>
                <c:pt idx="53">
                  <c:v>0.11063760039338177</c:v>
                </c:pt>
                <c:pt idx="54">
                  <c:v>0.11102373132256815</c:v>
                </c:pt>
                <c:pt idx="55">
                  <c:v>0.10977522216415458</c:v>
                </c:pt>
                <c:pt idx="56">
                  <c:v>0.11235955056179137</c:v>
                </c:pt>
                <c:pt idx="57">
                  <c:v>0.10718831647351656</c:v>
                </c:pt>
                <c:pt idx="58">
                  <c:v>0.10642341315088011</c:v>
                </c:pt>
                <c:pt idx="59">
                  <c:v>0.1036896223969519</c:v>
                </c:pt>
                <c:pt idx="60">
                  <c:v>0.10825706131285528</c:v>
                </c:pt>
                <c:pt idx="61">
                  <c:v>0.10895571006548366</c:v>
                </c:pt>
                <c:pt idx="62">
                  <c:v>0.10921098277034691</c:v>
                </c:pt>
                <c:pt idx="63">
                  <c:v>0.11047770559899917</c:v>
                </c:pt>
                <c:pt idx="64">
                  <c:v>0.10833319227447902</c:v>
                </c:pt>
                <c:pt idx="65">
                  <c:v>0.10918733426923399</c:v>
                </c:pt>
                <c:pt idx="66">
                  <c:v>0.10805456755662579</c:v>
                </c:pt>
                <c:pt idx="67">
                  <c:v>0.10942059191330067</c:v>
                </c:pt>
                <c:pt idx="68">
                  <c:v>0.10879090991506857</c:v>
                </c:pt>
                <c:pt idx="69">
                  <c:v>0.10890949971893438</c:v>
                </c:pt>
                <c:pt idx="70">
                  <c:v>0.11051532888541882</c:v>
                </c:pt>
                <c:pt idx="71">
                  <c:v>0.10990586323886831</c:v>
                </c:pt>
                <c:pt idx="72">
                  <c:v>0.11178804985747526</c:v>
                </c:pt>
                <c:pt idx="73">
                  <c:v>0.11130753617494271</c:v>
                </c:pt>
                <c:pt idx="74">
                  <c:v>0.10751036707110639</c:v>
                </c:pt>
                <c:pt idx="75">
                  <c:v>0.10820559062219015</c:v>
                </c:pt>
                <c:pt idx="76">
                  <c:v>0.10914832515602768</c:v>
                </c:pt>
                <c:pt idx="77">
                  <c:v>0.10966825353306842</c:v>
                </c:pt>
                <c:pt idx="78">
                  <c:v>0.10851553678530301</c:v>
                </c:pt>
                <c:pt idx="79">
                  <c:v>0.11048579221766275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5-4407-9748-092E351DD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Relative Error,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(SK/DZ - 1)*100%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0 extra points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Iss!$F$2:$F$81</c:f>
              <c:numCache>
                <c:formatCode>0.00</c:formatCode>
                <c:ptCount val="80"/>
                <c:pt idx="0">
                  <c:v>0.79434679274539288</c:v>
                </c:pt>
                <c:pt idx="1">
                  <c:v>0.80433355219959868</c:v>
                </c:pt>
                <c:pt idx="2">
                  <c:v>0.81656715669058411</c:v>
                </c:pt>
                <c:pt idx="3">
                  <c:v>0.82474740553402093</c:v>
                </c:pt>
                <c:pt idx="4">
                  <c:v>0.83762248836980469</c:v>
                </c:pt>
                <c:pt idx="5">
                  <c:v>0.84400108110764815</c:v>
                </c:pt>
                <c:pt idx="6">
                  <c:v>0.85620197585072333</c:v>
                </c:pt>
                <c:pt idx="7">
                  <c:v>0.86923887120011756</c:v>
                </c:pt>
                <c:pt idx="8">
                  <c:v>0.87223970973400178</c:v>
                </c:pt>
                <c:pt idx="9">
                  <c:v>0.91429252592680754</c:v>
                </c:pt>
                <c:pt idx="10">
                  <c:v>0.89744954063355475</c:v>
                </c:pt>
                <c:pt idx="11">
                  <c:v>1.003681729709438</c:v>
                </c:pt>
                <c:pt idx="12">
                  <c:v>0.97173144876325779</c:v>
                </c:pt>
                <c:pt idx="13">
                  <c:v>1.1150917531592253</c:v>
                </c:pt>
                <c:pt idx="14">
                  <c:v>1.1198502300201918</c:v>
                </c:pt>
                <c:pt idx="15">
                  <c:v>1.1476560201009622</c:v>
                </c:pt>
                <c:pt idx="16">
                  <c:v>1.1938754862063528</c:v>
                </c:pt>
                <c:pt idx="17">
                  <c:v>1.031158932974674</c:v>
                </c:pt>
                <c:pt idx="18">
                  <c:v>1.0199032947261877</c:v>
                </c:pt>
                <c:pt idx="19">
                  <c:v>0.81465468198886892</c:v>
                </c:pt>
                <c:pt idx="20">
                  <c:v>0.73387453187876428</c:v>
                </c:pt>
                <c:pt idx="21">
                  <c:v>0.58783223340186375</c:v>
                </c:pt>
                <c:pt idx="22">
                  <c:v>0.49140357932837553</c:v>
                </c:pt>
                <c:pt idx="23">
                  <c:v>0.41323412171141438</c:v>
                </c:pt>
                <c:pt idx="24">
                  <c:v>0.31660845614334132</c:v>
                </c:pt>
                <c:pt idx="25">
                  <c:v>0.28494393038789312</c:v>
                </c:pt>
                <c:pt idx="26">
                  <c:v>0.19678801927855982</c:v>
                </c:pt>
                <c:pt idx="27">
                  <c:v>0.19578781724032268</c:v>
                </c:pt>
                <c:pt idx="28">
                  <c:v>0.11522600468989452</c:v>
                </c:pt>
                <c:pt idx="29">
                  <c:v>0.13030486845946321</c:v>
                </c:pt>
                <c:pt idx="30">
                  <c:v>6.0228869704870291E-2</c:v>
                </c:pt>
                <c:pt idx="31">
                  <c:v>8.4447572132306803E-2</c:v>
                </c:pt>
                <c:pt idx="32">
                  <c:v>1.9008997592195875E-2</c:v>
                </c:pt>
                <c:pt idx="33">
                  <c:v>5.3617386331139549E-2</c:v>
                </c:pt>
                <c:pt idx="34">
                  <c:v>-8.0798287076411235E-3</c:v>
                </c:pt>
                <c:pt idx="35">
                  <c:v>3.6571428571430253E-2</c:v>
                </c:pt>
                <c:pt idx="36">
                  <c:v>-2.0706077233656472E-2</c:v>
                </c:pt>
                <c:pt idx="37">
                  <c:v>2.3456283351896978E-2</c:v>
                </c:pt>
                <c:pt idx="38">
                  <c:v>-2.6571011026976787E-2</c:v>
                </c:pt>
                <c:pt idx="39">
                  <c:v>1.5046644598259995E-2</c:v>
                </c:pt>
                <c:pt idx="40">
                  <c:v>-2.5553662691668588E-2</c:v>
                </c:pt>
                <c:pt idx="41">
                  <c:v>1.9277108433746193E-2</c:v>
                </c:pt>
                <c:pt idx="42">
                  <c:v>-2.6158323251479487E-2</c:v>
                </c:pt>
                <c:pt idx="43">
                  <c:v>1.3548800315299481E-2</c:v>
                </c:pt>
                <c:pt idx="44">
                  <c:v>-2.3646580982572551E-2</c:v>
                </c:pt>
                <c:pt idx="45">
                  <c:v>1.4128728414442016E-2</c:v>
                </c:pt>
                <c:pt idx="46">
                  <c:v>-1.9478334779454709E-2</c:v>
                </c:pt>
                <c:pt idx="47">
                  <c:v>1.597220835747315E-2</c:v>
                </c:pt>
                <c:pt idx="48">
                  <c:v>-1.8002610378520245E-2</c:v>
                </c:pt>
                <c:pt idx="49">
                  <c:v>1.7752529735481914E-2</c:v>
                </c:pt>
                <c:pt idx="50">
                  <c:v>-1.4290205493161512E-2</c:v>
                </c:pt>
                <c:pt idx="51">
                  <c:v>1.6107209587024052E-2</c:v>
                </c:pt>
                <c:pt idx="52">
                  <c:v>-1.0896807235483141E-2</c:v>
                </c:pt>
                <c:pt idx="53">
                  <c:v>1.6390755613815422E-2</c:v>
                </c:pt>
                <c:pt idx="54">
                  <c:v>-9.2519776102140128E-3</c:v>
                </c:pt>
                <c:pt idx="55">
                  <c:v>2.090956612650352E-2</c:v>
                </c:pt>
                <c:pt idx="56">
                  <c:v>-1.1827321111779199E-2</c:v>
                </c:pt>
                <c:pt idx="57">
                  <c:v>1.3398539559172917E-2</c:v>
                </c:pt>
                <c:pt idx="58">
                  <c:v>-1.5203344735847946E-2</c:v>
                </c:pt>
                <c:pt idx="59">
                  <c:v>8.6408018664219099E-3</c:v>
                </c:pt>
                <c:pt idx="60">
                  <c:v>-1.9683102056899937E-2</c:v>
                </c:pt>
                <c:pt idx="61">
                  <c:v>3.369764228833283E-3</c:v>
                </c:pt>
                <c:pt idx="62">
                  <c:v>-2.9551207102573862E-2</c:v>
                </c:pt>
                <c:pt idx="63">
                  <c:v>-2.9460721493013153E-3</c:v>
                </c:pt>
                <c:pt idx="64">
                  <c:v>-4.0624947102929632E-2</c:v>
                </c:pt>
                <c:pt idx="65">
                  <c:v>-1.1698642957413963E-2</c:v>
                </c:pt>
                <c:pt idx="66">
                  <c:v>-5.1776146954207736E-2</c:v>
                </c:pt>
                <c:pt idx="67">
                  <c:v>-2.0842017507283206E-2</c:v>
                </c:pt>
                <c:pt idx="68">
                  <c:v>-6.3461364117134433E-2</c:v>
                </c:pt>
                <c:pt idx="69">
                  <c:v>-3.161888701518345E-2</c:v>
                </c:pt>
                <c:pt idx="70">
                  <c:v>-7.7770046252723102E-2</c:v>
                </c:pt>
                <c:pt idx="71">
                  <c:v>-3.822812634396433E-2</c:v>
                </c:pt>
                <c:pt idx="72">
                  <c:v>-9.5019842378840647E-2</c:v>
                </c:pt>
                <c:pt idx="73">
                  <c:v>-4.5832514895582932E-2</c:v>
                </c:pt>
                <c:pt idx="74">
                  <c:v>-0.1075103670711175</c:v>
                </c:pt>
                <c:pt idx="75">
                  <c:v>-5.4102795311083973E-2</c:v>
                </c:pt>
                <c:pt idx="76">
                  <c:v>-0.10808863267879332</c:v>
                </c:pt>
                <c:pt idx="77">
                  <c:v>-5.3587896612750097E-2</c:v>
                </c:pt>
                <c:pt idx="78">
                  <c:v>-0.11291481530363301</c:v>
                </c:pt>
                <c:pt idx="79">
                  <c:v>-5.1790215102021087E-2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F-4E25-93D0-23AE8406943F}"/>
            </c:ext>
          </c:extLst>
        </c:ser>
        <c:ser>
          <c:idx val="0"/>
          <c:order val="1"/>
          <c:tx>
            <c:v>1 extra point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Iss!$G$2:$G$81</c:f>
              <c:numCache>
                <c:formatCode>0.00</c:formatCode>
                <c:ptCount val="80"/>
                <c:pt idx="0">
                  <c:v>6.6089653156420347E-2</c:v>
                </c:pt>
                <c:pt idx="1">
                  <c:v>6.6922571847061185E-2</c:v>
                </c:pt>
                <c:pt idx="2">
                  <c:v>6.7733681200143891E-2</c:v>
                </c:pt>
                <c:pt idx="3">
                  <c:v>6.7275468125127524E-2</c:v>
                </c:pt>
                <c:pt idx="4">
                  <c:v>6.8049094328426207E-2</c:v>
                </c:pt>
                <c:pt idx="5">
                  <c:v>7.0026290572244854E-2</c:v>
                </c:pt>
                <c:pt idx="6">
                  <c:v>7.3179656055621933E-2</c:v>
                </c:pt>
                <c:pt idx="7">
                  <c:v>7.7480902168258758E-2</c:v>
                </c:pt>
                <c:pt idx="8">
                  <c:v>8.4100247495011438E-2</c:v>
                </c:pt>
                <c:pt idx="9">
                  <c:v>9.4170938133264492E-2</c:v>
                </c:pt>
                <c:pt idx="10">
                  <c:v>0.10523453111512815</c:v>
                </c:pt>
                <c:pt idx="11">
                  <c:v>0.1149074877471179</c:v>
                </c:pt>
                <c:pt idx="12">
                  <c:v>0.11972289380697276</c:v>
                </c:pt>
                <c:pt idx="13">
                  <c:v>0.11634738333583527</c:v>
                </c:pt>
                <c:pt idx="14">
                  <c:v>0.10273855321287773</c:v>
                </c:pt>
                <c:pt idx="15">
                  <c:v>8.8281232315456926E-2</c:v>
                </c:pt>
                <c:pt idx="16">
                  <c:v>7.7568181307197115E-2</c:v>
                </c:pt>
                <c:pt idx="17">
                  <c:v>7.6216095045977816E-2</c:v>
                </c:pt>
                <c:pt idx="18">
                  <c:v>8.2087034746436416E-2</c:v>
                </c:pt>
                <c:pt idx="19">
                  <c:v>9.1022869495982484E-2</c:v>
                </c:pt>
                <c:pt idx="20">
                  <c:v>9.8857900490800787E-2</c:v>
                </c:pt>
                <c:pt idx="21">
                  <c:v>0.10217942707393401</c:v>
                </c:pt>
                <c:pt idx="22">
                  <c:v>0.1055700784234892</c:v>
                </c:pt>
                <c:pt idx="23">
                  <c:v>0.10762689343610798</c:v>
                </c:pt>
                <c:pt idx="24">
                  <c:v>0.1093222023454743</c:v>
                </c:pt>
                <c:pt idx="25">
                  <c:v>0.10876891966420388</c:v>
                </c:pt>
                <c:pt idx="26">
                  <c:v>0.11006787518970107</c:v>
                </c:pt>
                <c:pt idx="27">
                  <c:v>0.10978756106934107</c:v>
                </c:pt>
                <c:pt idx="28">
                  <c:v>0.11118298698147289</c:v>
                </c:pt>
                <c:pt idx="29">
                  <c:v>0.11008514749162313</c:v>
                </c:pt>
                <c:pt idx="30">
                  <c:v>0.11041959445892147</c:v>
                </c:pt>
                <c:pt idx="31">
                  <c:v>0.1097818437719944</c:v>
                </c:pt>
                <c:pt idx="32">
                  <c:v>0.11088581928779817</c:v>
                </c:pt>
                <c:pt idx="33">
                  <c:v>0.11080926508435507</c:v>
                </c:pt>
                <c:pt idx="34">
                  <c:v>0.10907768755301639</c:v>
                </c:pt>
                <c:pt idx="35">
                  <c:v>0.10971428571429076</c:v>
                </c:pt>
                <c:pt idx="36">
                  <c:v>0.10870690547675199</c:v>
                </c:pt>
                <c:pt idx="37">
                  <c:v>0.1114173459215495</c:v>
                </c:pt>
                <c:pt idx="38">
                  <c:v>0.10628404410788495</c:v>
                </c:pt>
                <c:pt idx="39">
                  <c:v>0.10532651218777556</c:v>
                </c:pt>
                <c:pt idx="40">
                  <c:v>0.11073253833049357</c:v>
                </c:pt>
                <c:pt idx="41">
                  <c:v>0.11566265060241054</c:v>
                </c:pt>
                <c:pt idx="42">
                  <c:v>0.1089930135478312</c:v>
                </c:pt>
                <c:pt idx="43">
                  <c:v>0.10962211164209368</c:v>
                </c:pt>
                <c:pt idx="44">
                  <c:v>0.10849607744951584</c:v>
                </c:pt>
                <c:pt idx="45">
                  <c:v>0.10832025117739619</c:v>
                </c:pt>
                <c:pt idx="46">
                  <c:v>0.10801622014060541</c:v>
                </c:pt>
                <c:pt idx="47">
                  <c:v>0.10980893245753354</c:v>
                </c:pt>
                <c:pt idx="48">
                  <c:v>0.10801566227101045</c:v>
                </c:pt>
                <c:pt idx="49">
                  <c:v>0.10905125408944283</c:v>
                </c:pt>
                <c:pt idx="50">
                  <c:v>0.10860556174798752</c:v>
                </c:pt>
                <c:pt idx="51">
                  <c:v>0.10952902519165697</c:v>
                </c:pt>
                <c:pt idx="52">
                  <c:v>0.10896807235480921</c:v>
                </c:pt>
                <c:pt idx="53">
                  <c:v>0.11063760039338177</c:v>
                </c:pt>
                <c:pt idx="54">
                  <c:v>0.11102373132256815</c:v>
                </c:pt>
                <c:pt idx="55">
                  <c:v>0.10977522216415458</c:v>
                </c:pt>
                <c:pt idx="56">
                  <c:v>0.11235955056179137</c:v>
                </c:pt>
                <c:pt idx="57">
                  <c:v>0.10718831647351656</c:v>
                </c:pt>
                <c:pt idx="58">
                  <c:v>0.10642341315088011</c:v>
                </c:pt>
                <c:pt idx="59">
                  <c:v>0.1036896223969519</c:v>
                </c:pt>
                <c:pt idx="60">
                  <c:v>0.10825706131285528</c:v>
                </c:pt>
                <c:pt idx="61">
                  <c:v>0.10895571006548366</c:v>
                </c:pt>
                <c:pt idx="62">
                  <c:v>0.10921098277034691</c:v>
                </c:pt>
                <c:pt idx="63">
                  <c:v>0.11047770559899917</c:v>
                </c:pt>
                <c:pt idx="64">
                  <c:v>0.10833319227447902</c:v>
                </c:pt>
                <c:pt idx="65">
                  <c:v>0.10918733426923399</c:v>
                </c:pt>
                <c:pt idx="66">
                  <c:v>0.10805456755662579</c:v>
                </c:pt>
                <c:pt idx="67">
                  <c:v>0.10942059191330067</c:v>
                </c:pt>
                <c:pt idx="68">
                  <c:v>0.10879090991506857</c:v>
                </c:pt>
                <c:pt idx="69">
                  <c:v>0.10890949971893438</c:v>
                </c:pt>
                <c:pt idx="70">
                  <c:v>0.11051532888541882</c:v>
                </c:pt>
                <c:pt idx="71">
                  <c:v>0.10990586323886831</c:v>
                </c:pt>
                <c:pt idx="72">
                  <c:v>0.11178804985747526</c:v>
                </c:pt>
                <c:pt idx="73">
                  <c:v>0.11130753617494271</c:v>
                </c:pt>
                <c:pt idx="74">
                  <c:v>0.10751036707110639</c:v>
                </c:pt>
                <c:pt idx="75">
                  <c:v>0.10820559062219015</c:v>
                </c:pt>
                <c:pt idx="76">
                  <c:v>0.10914832515602768</c:v>
                </c:pt>
                <c:pt idx="77">
                  <c:v>0.10966825353306842</c:v>
                </c:pt>
                <c:pt idx="78">
                  <c:v>0.10851553678530301</c:v>
                </c:pt>
                <c:pt idx="79">
                  <c:v>0.11048579221766275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F-4E25-93D0-23AE8406943F}"/>
            </c:ext>
          </c:extLst>
        </c:ser>
        <c:ser>
          <c:idx val="2"/>
          <c:order val="2"/>
          <c:tx>
            <c:v>2 extra points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Iss!$H$2:$H$81</c:f>
              <c:numCache>
                <c:formatCode>0.00</c:formatCode>
                <c:ptCount val="80"/>
                <c:pt idx="0">
                  <c:v>4.5754375262130331E-2</c:v>
                </c:pt>
                <c:pt idx="1">
                  <c:v>4.6719531289451943E-2</c:v>
                </c:pt>
                <c:pt idx="2">
                  <c:v>4.7664442326023071E-2</c:v>
                </c:pt>
                <c:pt idx="3">
                  <c:v>4.7341996088046123E-2</c:v>
                </c:pt>
                <c:pt idx="4">
                  <c:v>4.825299416015838E-2</c:v>
                </c:pt>
                <c:pt idx="5">
                  <c:v>4.791272512838507E-2</c:v>
                </c:pt>
                <c:pt idx="6">
                  <c:v>4.8786437370429425E-2</c:v>
                </c:pt>
                <c:pt idx="7">
                  <c:v>4.9636202951530706E-2</c:v>
                </c:pt>
                <c:pt idx="8">
                  <c:v>5.0460148497011303E-2</c:v>
                </c:pt>
                <c:pt idx="9">
                  <c:v>5.1257599237075624E-2</c:v>
                </c:pt>
                <c:pt idx="10">
                  <c:v>5.6755702174471345E-2</c:v>
                </c:pt>
                <c:pt idx="11">
                  <c:v>5.8626269258721386E-2</c:v>
                </c:pt>
                <c:pt idx="12">
                  <c:v>6.7416775153428254E-2</c:v>
                </c:pt>
                <c:pt idx="13">
                  <c:v>7.0269211717688407E-2</c:v>
                </c:pt>
                <c:pt idx="14">
                  <c:v>7.5341605689427382E-2</c:v>
                </c:pt>
                <c:pt idx="15">
                  <c:v>7.9226746949778715E-2</c:v>
                </c:pt>
                <c:pt idx="16">
                  <c:v>6.9698945522400635E-2</c:v>
                </c:pt>
                <c:pt idx="17">
                  <c:v>7.5095270118819002E-2</c:v>
                </c:pt>
                <c:pt idx="18">
                  <c:v>5.2850556617567435E-2</c:v>
                </c:pt>
                <c:pt idx="19">
                  <c:v>6.4853794515884466E-2</c:v>
                </c:pt>
                <c:pt idx="20">
                  <c:v>4.3032262566589097E-2</c:v>
                </c:pt>
                <c:pt idx="21">
                  <c:v>5.8903434430868096E-2</c:v>
                </c:pt>
                <c:pt idx="22">
                  <c:v>4.1473959380655678E-2</c:v>
                </c:pt>
                <c:pt idx="23">
                  <c:v>5.979271857561308E-2</c:v>
                </c:pt>
                <c:pt idx="24">
                  <c:v>4.5432603572148622E-2</c:v>
                </c:pt>
                <c:pt idx="25">
                  <c:v>6.4342177829534997E-2</c:v>
                </c:pt>
                <c:pt idx="26">
                  <c:v>5.1698547437584175E-2</c:v>
                </c:pt>
                <c:pt idx="27">
                  <c:v>6.9532122010573794E-2</c:v>
                </c:pt>
                <c:pt idx="28">
                  <c:v>5.8623756772058222E-2</c:v>
                </c:pt>
                <c:pt idx="29">
                  <c:v>7.4138976882109908E-2</c:v>
                </c:pt>
                <c:pt idx="30">
                  <c:v>6.524794218027985E-2</c:v>
                </c:pt>
                <c:pt idx="31">
                  <c:v>7.8817733990144134E-2</c:v>
                </c:pt>
                <c:pt idx="32">
                  <c:v>6.9699657838051543E-2</c:v>
                </c:pt>
                <c:pt idx="33">
                  <c:v>8.2213325707747309E-2</c:v>
                </c:pt>
                <c:pt idx="34">
                  <c:v>7.2718458368692396E-2</c:v>
                </c:pt>
                <c:pt idx="35">
                  <c:v>8.6857142857144076E-2</c:v>
                </c:pt>
                <c:pt idx="36">
                  <c:v>7.2471270317842063E-2</c:v>
                </c:pt>
                <c:pt idx="37">
                  <c:v>9.3825133407632322E-2</c:v>
                </c:pt>
                <c:pt idx="38">
                  <c:v>7.9713033080897056E-2</c:v>
                </c:pt>
                <c:pt idx="39">
                  <c:v>9.0279867589515561E-2</c:v>
                </c:pt>
                <c:pt idx="40">
                  <c:v>8.5178875638836082E-2</c:v>
                </c:pt>
                <c:pt idx="41">
                  <c:v>9.6385542168664351E-2</c:v>
                </c:pt>
                <c:pt idx="42">
                  <c:v>8.3924620431852226E-2</c:v>
                </c:pt>
                <c:pt idx="43">
                  <c:v>9.4841602207207387E-2</c:v>
                </c:pt>
                <c:pt idx="44">
                  <c:v>8.6240471818843645E-2</c:v>
                </c:pt>
                <c:pt idx="45">
                  <c:v>9.5761381475667484E-2</c:v>
                </c:pt>
                <c:pt idx="46">
                  <c:v>8.8537885361139601E-2</c:v>
                </c:pt>
                <c:pt idx="47">
                  <c:v>9.7829776189439777E-2</c:v>
                </c:pt>
                <c:pt idx="48">
                  <c:v>8.7762725595208479E-2</c:v>
                </c:pt>
                <c:pt idx="49">
                  <c:v>9.8906951383437303E-2</c:v>
                </c:pt>
                <c:pt idx="50">
                  <c:v>9.1457315156184826E-2</c:v>
                </c:pt>
                <c:pt idx="51">
                  <c:v>9.9864699439455862E-2</c:v>
                </c:pt>
                <c:pt idx="52">
                  <c:v>9.0806726962333606E-2</c:v>
                </c:pt>
                <c:pt idx="53">
                  <c:v>9.8344533683003554E-2</c:v>
                </c:pt>
                <c:pt idx="54">
                  <c:v>9.2519776102162332E-2</c:v>
                </c:pt>
                <c:pt idx="55">
                  <c:v>9.932043910088062E-2</c:v>
                </c:pt>
                <c:pt idx="56">
                  <c:v>9.4618568894144772E-2</c:v>
                </c:pt>
                <c:pt idx="57">
                  <c:v>0.1004890466939079</c:v>
                </c:pt>
                <c:pt idx="58">
                  <c:v>9.1220068415043265E-2</c:v>
                </c:pt>
                <c:pt idx="59">
                  <c:v>9.5048820530552192E-2</c:v>
                </c:pt>
                <c:pt idx="60">
                  <c:v>8.857395925596645E-2</c:v>
                </c:pt>
                <c:pt idx="61">
                  <c:v>9.7723162636054184E-2</c:v>
                </c:pt>
                <c:pt idx="62">
                  <c:v>8.9938456399107913E-2</c:v>
                </c:pt>
                <c:pt idx="63">
                  <c:v>9.8693417001771699E-2</c:v>
                </c:pt>
                <c:pt idx="64">
                  <c:v>8.80207187230031E-2</c:v>
                </c:pt>
                <c:pt idx="65">
                  <c:v>9.7488691311831133E-2</c:v>
                </c:pt>
                <c:pt idx="66">
                  <c:v>8.7794336139745965E-2</c:v>
                </c:pt>
                <c:pt idx="67">
                  <c:v>9.6394330971238951E-2</c:v>
                </c:pt>
                <c:pt idx="68">
                  <c:v>8.4615152156164442E-2</c:v>
                </c:pt>
                <c:pt idx="69">
                  <c:v>9.4856661045517043E-2</c:v>
                </c:pt>
                <c:pt idx="70">
                  <c:v>8.5956366910888704E-2</c:v>
                </c:pt>
                <c:pt idx="71">
                  <c:v>9.5570315859894173E-2</c:v>
                </c:pt>
                <c:pt idx="72">
                  <c:v>8.3841037393095341E-2</c:v>
                </c:pt>
                <c:pt idx="73">
                  <c:v>9.1665029791121455E-2</c:v>
                </c:pt>
                <c:pt idx="74">
                  <c:v>7.6793119336504567E-2</c:v>
                </c:pt>
                <c:pt idx="75">
                  <c:v>9.0171325518495493E-2</c:v>
                </c:pt>
                <c:pt idx="76">
                  <c:v>7.9476935793243442E-2</c:v>
                </c:pt>
                <c:pt idx="77">
                  <c:v>9.3467261533852763E-2</c:v>
                </c:pt>
                <c:pt idx="78">
                  <c:v>7.918701332980671E-2</c:v>
                </c:pt>
                <c:pt idx="79">
                  <c:v>9.4948727687049761E-2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1F-4E25-93D0-23AE8406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Relative Error,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51290463692037"/>
          <c:y val="0.24858616092029498"/>
          <c:w val="0.26180621172353458"/>
          <c:h val="0.28496714144227453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SASKTRAN-HR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Iss!$B$2:$B$81</c:f>
              <c:numCache>
                <c:formatCode>0.0000E+00</c:formatCode>
                <c:ptCount val="80"/>
                <c:pt idx="0">
                  <c:v>7.8681000000000001E-2</c:v>
                </c:pt>
                <c:pt idx="1">
                  <c:v>7.9196000000000003E-2</c:v>
                </c:pt>
                <c:pt idx="2">
                  <c:v>7.9724000000000003E-2</c:v>
                </c:pt>
                <c:pt idx="3">
                  <c:v>8.0267000000000005E-2</c:v>
                </c:pt>
                <c:pt idx="4">
                  <c:v>8.0823999999999993E-2</c:v>
                </c:pt>
                <c:pt idx="5">
                  <c:v>8.1397999999999998E-2</c:v>
                </c:pt>
                <c:pt idx="6">
                  <c:v>8.1989999999999993E-2</c:v>
                </c:pt>
                <c:pt idx="7">
                  <c:v>8.2600999999999994E-2</c:v>
                </c:pt>
                <c:pt idx="8">
                  <c:v>8.3234000000000002E-2</c:v>
                </c:pt>
                <c:pt idx="9">
                  <c:v>8.3890000000000006E-2</c:v>
                </c:pt>
                <c:pt idx="10">
                  <c:v>8.4572999999999995E-2</c:v>
                </c:pt>
                <c:pt idx="11">
                  <c:v>8.5286000000000001E-2</c:v>
                </c:pt>
                <c:pt idx="12">
                  <c:v>8.6031999999999997E-2</c:v>
                </c:pt>
                <c:pt idx="13">
                  <c:v>8.6808999999999997E-2</c:v>
                </c:pt>
                <c:pt idx="14">
                  <c:v>8.7600999999999998E-2</c:v>
                </c:pt>
                <c:pt idx="15">
                  <c:v>8.8354000000000002E-2</c:v>
                </c:pt>
                <c:pt idx="16">
                  <c:v>8.8954000000000005E-2</c:v>
                </c:pt>
                <c:pt idx="17">
                  <c:v>8.9219999999999994E-2</c:v>
                </c:pt>
                <c:pt idx="18">
                  <c:v>8.8929999999999995E-2</c:v>
                </c:pt>
                <c:pt idx="19">
                  <c:v>8.7889999999999996E-2</c:v>
                </c:pt>
                <c:pt idx="20">
                  <c:v>8.5982000000000003E-2</c:v>
                </c:pt>
                <c:pt idx="21">
                  <c:v>8.3186999999999997E-2</c:v>
                </c:pt>
                <c:pt idx="22">
                  <c:v>7.9568E-2</c:v>
                </c:pt>
                <c:pt idx="23">
                  <c:v>7.5259999999999994E-2</c:v>
                </c:pt>
                <c:pt idx="24">
                  <c:v>7.0433999999999997E-2</c:v>
                </c:pt>
                <c:pt idx="25">
                  <c:v>6.5276000000000001E-2</c:v>
                </c:pt>
                <c:pt idx="26">
                  <c:v>5.9963000000000002E-2</c:v>
                </c:pt>
                <c:pt idx="27">
                  <c:v>5.4650999999999998E-2</c:v>
                </c:pt>
                <c:pt idx="28">
                  <c:v>4.9467999999999998E-2</c:v>
                </c:pt>
                <c:pt idx="29">
                  <c:v>4.4511000000000002E-2</c:v>
                </c:pt>
                <c:pt idx="30">
                  <c:v>3.9848000000000001E-2</c:v>
                </c:pt>
                <c:pt idx="31">
                  <c:v>3.5525000000000001E-2</c:v>
                </c:pt>
                <c:pt idx="32">
                  <c:v>3.1564000000000002E-2</c:v>
                </c:pt>
                <c:pt idx="33">
                  <c:v>2.7976000000000001E-2</c:v>
                </c:pt>
                <c:pt idx="34">
                  <c:v>2.4753000000000001E-2</c:v>
                </c:pt>
                <c:pt idx="35">
                  <c:v>2.1874999999999999E-2</c:v>
                </c:pt>
                <c:pt idx="36">
                  <c:v>1.9317999999999998E-2</c:v>
                </c:pt>
                <c:pt idx="37">
                  <c:v>1.7052999999999999E-2</c:v>
                </c:pt>
                <c:pt idx="38">
                  <c:v>1.5054E-2</c:v>
                </c:pt>
                <c:pt idx="39">
                  <c:v>1.3292E-2</c:v>
                </c:pt>
                <c:pt idx="40">
                  <c:v>1.174E-2</c:v>
                </c:pt>
                <c:pt idx="41">
                  <c:v>1.0375000000000001E-2</c:v>
                </c:pt>
                <c:pt idx="42">
                  <c:v>9.1748999999999997E-3</c:v>
                </c:pt>
                <c:pt idx="43">
                  <c:v>8.1188000000000007E-3</c:v>
                </c:pt>
                <c:pt idx="44">
                  <c:v>7.1891999999999998E-3</c:v>
                </c:pt>
                <c:pt idx="45">
                  <c:v>6.3699999999999998E-3</c:v>
                </c:pt>
                <c:pt idx="46">
                  <c:v>5.6473000000000001E-3</c:v>
                </c:pt>
                <c:pt idx="47">
                  <c:v>5.0086999999999996E-3</c:v>
                </c:pt>
                <c:pt idx="48">
                  <c:v>4.4438000000000004E-3</c:v>
                </c:pt>
                <c:pt idx="49">
                  <c:v>3.9430999999999997E-3</c:v>
                </c:pt>
                <c:pt idx="50">
                  <c:v>3.4989000000000001E-3</c:v>
                </c:pt>
                <c:pt idx="51">
                  <c:v>3.1042000000000001E-3</c:v>
                </c:pt>
                <c:pt idx="52">
                  <c:v>2.7531000000000001E-3</c:v>
                </c:pt>
                <c:pt idx="53">
                  <c:v>2.4404000000000001E-3</c:v>
                </c:pt>
                <c:pt idx="54">
                  <c:v>2.1616999999999999E-3</c:v>
                </c:pt>
                <c:pt idx="55">
                  <c:v>1.913E-3</c:v>
                </c:pt>
                <c:pt idx="56">
                  <c:v>1.691E-3</c:v>
                </c:pt>
                <c:pt idx="57">
                  <c:v>1.4927E-3</c:v>
                </c:pt>
                <c:pt idx="58">
                  <c:v>1.3155E-3</c:v>
                </c:pt>
                <c:pt idx="59">
                  <c:v>1.1573E-3</c:v>
                </c:pt>
                <c:pt idx="60">
                  <c:v>1.0161E-3</c:v>
                </c:pt>
                <c:pt idx="61">
                  <c:v>8.9026999999999997E-4</c:v>
                </c:pt>
                <c:pt idx="62">
                  <c:v>7.7831000000000005E-4</c:v>
                </c:pt>
                <c:pt idx="63">
                  <c:v>6.7887000000000004E-4</c:v>
                </c:pt>
                <c:pt idx="64">
                  <c:v>5.9077000000000001E-4</c:v>
                </c:pt>
                <c:pt idx="65">
                  <c:v>5.1287999999999995E-4</c:v>
                </c:pt>
                <c:pt idx="66">
                  <c:v>4.4422E-4</c:v>
                </c:pt>
                <c:pt idx="67">
                  <c:v>3.8383999999999998E-4</c:v>
                </c:pt>
                <c:pt idx="68">
                  <c:v>3.3091000000000001E-4</c:v>
                </c:pt>
                <c:pt idx="69">
                  <c:v>2.8464000000000001E-4</c:v>
                </c:pt>
                <c:pt idx="70">
                  <c:v>2.4431000000000002E-4</c:v>
                </c:pt>
                <c:pt idx="71">
                  <c:v>2.0927000000000001E-4</c:v>
                </c:pt>
                <c:pt idx="72">
                  <c:v>1.7891000000000001E-4</c:v>
                </c:pt>
                <c:pt idx="73">
                  <c:v>1.5273000000000001E-4</c:v>
                </c:pt>
                <c:pt idx="74">
                  <c:v>1.3022000000000001E-4</c:v>
                </c:pt>
                <c:pt idx="75">
                  <c:v>1.109E-4</c:v>
                </c:pt>
                <c:pt idx="76">
                  <c:v>9.4367E-5</c:v>
                </c:pt>
                <c:pt idx="77">
                  <c:v>8.0241999999999995E-5</c:v>
                </c:pt>
                <c:pt idx="78">
                  <c:v>6.8193000000000003E-5</c:v>
                </c:pt>
                <c:pt idx="79">
                  <c:v>5.7926000000000001E-5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7A-4010-A8DB-17D7D9A97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30958</xdr:colOff>
      <xdr:row>1</xdr:row>
      <xdr:rowOff>20954</xdr:rowOff>
    </xdr:from>
    <xdr:to>
      <xdr:col>16</xdr:col>
      <xdr:colOff>335758</xdr:colOff>
      <xdr:row>16</xdr:row>
      <xdr:rowOff>48577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48D19-2472-F1CA-8E8C-FE41FB682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84F14A-ED61-48E6-A626-02566D001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32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09B257-A255-4291-9994-4D63752BD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7E76-2E3A-46B7-8284-E640DE7DB91A}">
  <dimension ref="A1:H83"/>
  <sheetViews>
    <sheetView tabSelected="1" workbookViewId="0">
      <selection activeCell="N36" sqref="N36"/>
    </sheetView>
  </sheetViews>
  <sheetFormatPr defaultRowHeight="14.4" x14ac:dyDescent="0.3"/>
  <cols>
    <col min="1" max="1" width="8.88671875" style="1"/>
    <col min="2" max="5" width="12.77734375" style="1" customWidth="1"/>
    <col min="6" max="8" width="10.33203125" style="1" bestFit="1" customWidth="1"/>
    <col min="9" max="16384" width="8.88671875" style="1"/>
  </cols>
  <sheetData>
    <row r="1" spans="1:8" x14ac:dyDescent="0.3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4" t="s">
        <v>7</v>
      </c>
      <c r="G1" s="4" t="s">
        <v>6</v>
      </c>
      <c r="H1" s="4" t="s">
        <v>9</v>
      </c>
    </row>
    <row r="2" spans="1:8" x14ac:dyDescent="0.3">
      <c r="A2" s="1">
        <v>0.5</v>
      </c>
      <c r="B2" s="2">
        <v>7.8681000000000001E-2</v>
      </c>
      <c r="C2" s="2">
        <v>7.9306000000000001E-2</v>
      </c>
      <c r="D2" s="2">
        <v>7.8732999999999997E-2</v>
      </c>
      <c r="E2" s="2">
        <v>7.8716999999999995E-2</v>
      </c>
      <c r="F2" s="5">
        <f t="shared" ref="F2:F33" si="0">100*(C2/B2-1)</f>
        <v>0.79434679274539288</v>
      </c>
      <c r="G2" s="5">
        <f t="shared" ref="G2:G33" si="1">100*(D2/B2-1)</f>
        <v>6.6089653156420347E-2</v>
      </c>
      <c r="H2" s="5">
        <f>100*(E2/B2-1)</f>
        <v>4.5754375262130331E-2</v>
      </c>
    </row>
    <row r="3" spans="1:8" x14ac:dyDescent="0.3">
      <c r="A3" s="1">
        <v>1.5</v>
      </c>
      <c r="B3" s="2">
        <v>7.9196000000000003E-2</v>
      </c>
      <c r="C3" s="2">
        <v>7.9833000000000001E-2</v>
      </c>
      <c r="D3" s="2">
        <v>7.9249E-2</v>
      </c>
      <c r="E3" s="2">
        <v>7.9232999999999998E-2</v>
      </c>
      <c r="F3" s="5">
        <f t="shared" si="0"/>
        <v>0.80433355219959868</v>
      </c>
      <c r="G3" s="5">
        <f t="shared" si="1"/>
        <v>6.6922571847061185E-2</v>
      </c>
      <c r="H3" s="5">
        <f t="shared" ref="H3:H66" si="2">100*(E3/B3-1)</f>
        <v>4.6719531289451943E-2</v>
      </c>
    </row>
    <row r="4" spans="1:8" x14ac:dyDescent="0.3">
      <c r="A4" s="1">
        <v>2.5</v>
      </c>
      <c r="B4" s="2">
        <v>7.9724000000000003E-2</v>
      </c>
      <c r="C4" s="2">
        <v>8.0375000000000002E-2</v>
      </c>
      <c r="D4" s="2">
        <v>7.9778000000000002E-2</v>
      </c>
      <c r="E4" s="2">
        <v>7.9762E-2</v>
      </c>
      <c r="F4" s="5">
        <f t="shared" si="0"/>
        <v>0.81656715669058411</v>
      </c>
      <c r="G4" s="5">
        <f t="shared" si="1"/>
        <v>6.7733681200143891E-2</v>
      </c>
      <c r="H4" s="5">
        <f t="shared" si="2"/>
        <v>4.7664442326023071E-2</v>
      </c>
    </row>
    <row r="5" spans="1:8" x14ac:dyDescent="0.3">
      <c r="A5" s="1">
        <v>3.5</v>
      </c>
      <c r="B5" s="2">
        <v>8.0267000000000005E-2</v>
      </c>
      <c r="C5" s="2">
        <v>8.0929000000000001E-2</v>
      </c>
      <c r="D5" s="2">
        <v>8.0321000000000004E-2</v>
      </c>
      <c r="E5" s="2">
        <v>8.0305000000000001E-2</v>
      </c>
      <c r="F5" s="5">
        <f t="shared" si="0"/>
        <v>0.82474740553402093</v>
      </c>
      <c r="G5" s="5">
        <f t="shared" si="1"/>
        <v>6.7275468125127524E-2</v>
      </c>
      <c r="H5" s="5">
        <f t="shared" si="2"/>
        <v>4.7341996088046123E-2</v>
      </c>
    </row>
    <row r="6" spans="1:8" x14ac:dyDescent="0.3">
      <c r="A6" s="1">
        <v>4.5</v>
      </c>
      <c r="B6" s="2">
        <v>8.0823999999999993E-2</v>
      </c>
      <c r="C6" s="2">
        <v>8.1501000000000004E-2</v>
      </c>
      <c r="D6" s="2">
        <v>8.0879000000000006E-2</v>
      </c>
      <c r="E6" s="2">
        <v>8.0863000000000004E-2</v>
      </c>
      <c r="F6" s="5">
        <f t="shared" si="0"/>
        <v>0.83762248836980469</v>
      </c>
      <c r="G6" s="5">
        <f t="shared" si="1"/>
        <v>6.8049094328426207E-2</v>
      </c>
      <c r="H6" s="5">
        <f t="shared" si="2"/>
        <v>4.825299416015838E-2</v>
      </c>
    </row>
    <row r="7" spans="1:8" x14ac:dyDescent="0.3">
      <c r="A7" s="1">
        <v>5.5</v>
      </c>
      <c r="B7" s="2">
        <v>8.1397999999999998E-2</v>
      </c>
      <c r="C7" s="2">
        <v>8.2085000000000005E-2</v>
      </c>
      <c r="D7" s="2">
        <v>8.1455E-2</v>
      </c>
      <c r="E7" s="2">
        <v>8.1436999999999996E-2</v>
      </c>
      <c r="F7" s="5">
        <f t="shared" si="0"/>
        <v>0.84400108110764815</v>
      </c>
      <c r="G7" s="5">
        <f t="shared" si="1"/>
        <v>7.0026290572244854E-2</v>
      </c>
      <c r="H7" s="5">
        <f t="shared" si="2"/>
        <v>4.791272512838507E-2</v>
      </c>
    </row>
    <row r="8" spans="1:8" x14ac:dyDescent="0.3">
      <c r="A8" s="1">
        <v>6.5</v>
      </c>
      <c r="B8" s="2">
        <v>8.1989999999999993E-2</v>
      </c>
      <c r="C8" s="2">
        <v>8.2692000000000002E-2</v>
      </c>
      <c r="D8" s="2">
        <v>8.2049999999999998E-2</v>
      </c>
      <c r="E8" s="2">
        <v>8.2030000000000006E-2</v>
      </c>
      <c r="F8" s="5">
        <f t="shared" si="0"/>
        <v>0.85620197585072333</v>
      </c>
      <c r="G8" s="5">
        <f t="shared" si="1"/>
        <v>7.3179656055621933E-2</v>
      </c>
      <c r="H8" s="5">
        <f t="shared" si="2"/>
        <v>4.8786437370429425E-2</v>
      </c>
    </row>
    <row r="9" spans="1:8" x14ac:dyDescent="0.3">
      <c r="A9" s="1">
        <v>7.5</v>
      </c>
      <c r="B9" s="2">
        <v>8.2600999999999994E-2</v>
      </c>
      <c r="C9" s="2">
        <v>8.3319000000000004E-2</v>
      </c>
      <c r="D9" s="2">
        <v>8.2665000000000002E-2</v>
      </c>
      <c r="E9" s="2">
        <v>8.2641999999999993E-2</v>
      </c>
      <c r="F9" s="5">
        <f t="shared" si="0"/>
        <v>0.86923887120011756</v>
      </c>
      <c r="G9" s="5">
        <f t="shared" si="1"/>
        <v>7.7480902168258758E-2</v>
      </c>
      <c r="H9" s="5">
        <f t="shared" si="2"/>
        <v>4.9636202951530706E-2</v>
      </c>
    </row>
    <row r="10" spans="1:8" x14ac:dyDescent="0.3">
      <c r="A10" s="1">
        <v>8.5</v>
      </c>
      <c r="B10" s="2">
        <v>8.3234000000000002E-2</v>
      </c>
      <c r="C10" s="2">
        <v>8.3960000000000007E-2</v>
      </c>
      <c r="D10" s="2">
        <v>8.3304000000000003E-2</v>
      </c>
      <c r="E10" s="2">
        <v>8.3276000000000003E-2</v>
      </c>
      <c r="F10" s="5">
        <f t="shared" si="0"/>
        <v>0.87223970973400178</v>
      </c>
      <c r="G10" s="5">
        <f t="shared" si="1"/>
        <v>8.4100247495011438E-2</v>
      </c>
      <c r="H10" s="5">
        <f t="shared" si="2"/>
        <v>5.0460148497011303E-2</v>
      </c>
    </row>
    <row r="11" spans="1:8" x14ac:dyDescent="0.3">
      <c r="A11" s="1">
        <v>9.5</v>
      </c>
      <c r="B11" s="2">
        <v>8.3890000000000006E-2</v>
      </c>
      <c r="C11" s="2">
        <v>8.4656999999999996E-2</v>
      </c>
      <c r="D11" s="2">
        <v>8.3969000000000002E-2</v>
      </c>
      <c r="E11" s="2">
        <v>8.3932999999999994E-2</v>
      </c>
      <c r="F11" s="5">
        <f t="shared" si="0"/>
        <v>0.91429252592680754</v>
      </c>
      <c r="G11" s="5">
        <f t="shared" si="1"/>
        <v>9.4170938133264492E-2</v>
      </c>
      <c r="H11" s="5">
        <f t="shared" si="2"/>
        <v>5.1257599237075624E-2</v>
      </c>
    </row>
    <row r="12" spans="1:8" x14ac:dyDescent="0.3">
      <c r="A12" s="1">
        <v>10.5</v>
      </c>
      <c r="B12" s="2">
        <v>8.4572999999999995E-2</v>
      </c>
      <c r="C12" s="2">
        <v>8.5332000000000005E-2</v>
      </c>
      <c r="D12" s="2">
        <v>8.4662000000000001E-2</v>
      </c>
      <c r="E12" s="2">
        <v>8.4621000000000002E-2</v>
      </c>
      <c r="F12" s="5">
        <f t="shared" si="0"/>
        <v>0.89744954063355475</v>
      </c>
      <c r="G12" s="5">
        <f t="shared" si="1"/>
        <v>0.10523453111512815</v>
      </c>
      <c r="H12" s="5">
        <f t="shared" si="2"/>
        <v>5.6755702174471345E-2</v>
      </c>
    </row>
    <row r="13" spans="1:8" x14ac:dyDescent="0.3">
      <c r="A13" s="1">
        <v>11.5</v>
      </c>
      <c r="B13" s="2">
        <v>8.5286000000000001E-2</v>
      </c>
      <c r="C13" s="2">
        <v>8.6141999999999996E-2</v>
      </c>
      <c r="D13" s="2">
        <v>8.5384000000000002E-2</v>
      </c>
      <c r="E13" s="2">
        <v>8.5335999999999995E-2</v>
      </c>
      <c r="F13" s="5">
        <f t="shared" si="0"/>
        <v>1.003681729709438</v>
      </c>
      <c r="G13" s="5">
        <f t="shared" si="1"/>
        <v>0.1149074877471179</v>
      </c>
      <c r="H13" s="5">
        <f t="shared" si="2"/>
        <v>5.8626269258721386E-2</v>
      </c>
    </row>
    <row r="14" spans="1:8" x14ac:dyDescent="0.3">
      <c r="A14" s="1">
        <v>12.5</v>
      </c>
      <c r="B14" s="2">
        <v>8.6031999999999997E-2</v>
      </c>
      <c r="C14" s="2">
        <v>8.6868000000000001E-2</v>
      </c>
      <c r="D14" s="2">
        <v>8.6135000000000003E-2</v>
      </c>
      <c r="E14" s="2">
        <v>8.609E-2</v>
      </c>
      <c r="F14" s="5">
        <f t="shared" si="0"/>
        <v>0.97173144876325779</v>
      </c>
      <c r="G14" s="5">
        <f t="shared" si="1"/>
        <v>0.11972289380697276</v>
      </c>
      <c r="H14" s="5">
        <f t="shared" si="2"/>
        <v>6.7416775153428254E-2</v>
      </c>
    </row>
    <row r="15" spans="1:8" x14ac:dyDescent="0.3">
      <c r="A15" s="1">
        <v>13.5</v>
      </c>
      <c r="B15" s="2">
        <v>8.6808999999999997E-2</v>
      </c>
      <c r="C15" s="2">
        <v>8.7776999999999994E-2</v>
      </c>
      <c r="D15" s="2">
        <v>8.6910000000000001E-2</v>
      </c>
      <c r="E15" s="2">
        <v>8.6870000000000003E-2</v>
      </c>
      <c r="F15" s="5">
        <f t="shared" si="0"/>
        <v>1.1150917531592253</v>
      </c>
      <c r="G15" s="5">
        <f t="shared" si="1"/>
        <v>0.11634738333583527</v>
      </c>
      <c r="H15" s="5">
        <f t="shared" si="2"/>
        <v>7.0269211717688407E-2</v>
      </c>
    </row>
    <row r="16" spans="1:8" x14ac:dyDescent="0.3">
      <c r="A16" s="1">
        <v>14.5</v>
      </c>
      <c r="B16" s="2">
        <v>8.7600999999999998E-2</v>
      </c>
      <c r="C16" s="2">
        <v>8.8581999999999994E-2</v>
      </c>
      <c r="D16" s="2">
        <v>8.7691000000000005E-2</v>
      </c>
      <c r="E16" s="2">
        <v>8.7666999999999995E-2</v>
      </c>
      <c r="F16" s="5">
        <f t="shared" si="0"/>
        <v>1.1198502300201918</v>
      </c>
      <c r="G16" s="5">
        <f t="shared" si="1"/>
        <v>0.10273855321287773</v>
      </c>
      <c r="H16" s="5">
        <f t="shared" si="2"/>
        <v>7.5341605689427382E-2</v>
      </c>
    </row>
    <row r="17" spans="1:8" x14ac:dyDescent="0.3">
      <c r="A17" s="1">
        <v>15.5</v>
      </c>
      <c r="B17" s="2">
        <v>8.8354000000000002E-2</v>
      </c>
      <c r="C17" s="2">
        <v>8.9368000000000003E-2</v>
      </c>
      <c r="D17" s="2">
        <v>8.8431999999999997E-2</v>
      </c>
      <c r="E17" s="2">
        <v>8.8424000000000003E-2</v>
      </c>
      <c r="F17" s="5">
        <f t="shared" si="0"/>
        <v>1.1476560201009622</v>
      </c>
      <c r="G17" s="5">
        <f t="shared" si="1"/>
        <v>8.8281232315456926E-2</v>
      </c>
      <c r="H17" s="5">
        <f t="shared" si="2"/>
        <v>7.9226746949778715E-2</v>
      </c>
    </row>
    <row r="18" spans="1:8" x14ac:dyDescent="0.3">
      <c r="A18" s="1">
        <v>16.5</v>
      </c>
      <c r="B18" s="2">
        <v>8.8954000000000005E-2</v>
      </c>
      <c r="C18" s="2">
        <v>9.0015999999999999E-2</v>
      </c>
      <c r="D18" s="2">
        <v>8.9023000000000005E-2</v>
      </c>
      <c r="E18" s="2">
        <v>8.9015999999999998E-2</v>
      </c>
      <c r="F18" s="5">
        <f t="shared" si="0"/>
        <v>1.1938754862063528</v>
      </c>
      <c r="G18" s="5">
        <f t="shared" si="1"/>
        <v>7.7568181307197115E-2</v>
      </c>
      <c r="H18" s="5">
        <f t="shared" si="2"/>
        <v>6.9698945522400635E-2</v>
      </c>
    </row>
    <row r="19" spans="1:8" x14ac:dyDescent="0.3">
      <c r="A19" s="1">
        <v>17.5</v>
      </c>
      <c r="B19" s="2">
        <v>8.9219999999999994E-2</v>
      </c>
      <c r="C19" s="2">
        <v>9.0139999999999998E-2</v>
      </c>
      <c r="D19" s="2">
        <v>8.9288000000000006E-2</v>
      </c>
      <c r="E19" s="2">
        <v>8.9287000000000005E-2</v>
      </c>
      <c r="F19" s="5">
        <f t="shared" si="0"/>
        <v>1.031158932974674</v>
      </c>
      <c r="G19" s="5">
        <f t="shared" si="1"/>
        <v>7.6216095045977816E-2</v>
      </c>
      <c r="H19" s="5">
        <f t="shared" si="2"/>
        <v>7.5095270118819002E-2</v>
      </c>
    </row>
    <row r="20" spans="1:8" x14ac:dyDescent="0.3">
      <c r="A20" s="1">
        <v>18.5</v>
      </c>
      <c r="B20" s="2">
        <v>8.8929999999999995E-2</v>
      </c>
      <c r="C20" s="2">
        <v>8.9837E-2</v>
      </c>
      <c r="D20" s="2">
        <v>8.9002999999999999E-2</v>
      </c>
      <c r="E20" s="2">
        <v>8.8977000000000001E-2</v>
      </c>
      <c r="F20" s="5">
        <f t="shared" si="0"/>
        <v>1.0199032947261877</v>
      </c>
      <c r="G20" s="5">
        <f t="shared" si="1"/>
        <v>8.2087034746436416E-2</v>
      </c>
      <c r="H20" s="5">
        <f t="shared" si="2"/>
        <v>5.2850556617567435E-2</v>
      </c>
    </row>
    <row r="21" spans="1:8" x14ac:dyDescent="0.3">
      <c r="A21" s="1">
        <v>19.5</v>
      </c>
      <c r="B21" s="2">
        <v>8.7889999999999996E-2</v>
      </c>
      <c r="C21" s="2">
        <v>8.8606000000000004E-2</v>
      </c>
      <c r="D21" s="2">
        <v>8.7970000000000007E-2</v>
      </c>
      <c r="E21" s="2">
        <v>8.7946999999999997E-2</v>
      </c>
      <c r="F21" s="5">
        <f t="shared" si="0"/>
        <v>0.81465468198886892</v>
      </c>
      <c r="G21" s="5">
        <f t="shared" si="1"/>
        <v>9.1022869495982484E-2</v>
      </c>
      <c r="H21" s="5">
        <f t="shared" si="2"/>
        <v>6.4853794515884466E-2</v>
      </c>
    </row>
    <row r="22" spans="1:8" x14ac:dyDescent="0.3">
      <c r="A22" s="1">
        <v>20.5</v>
      </c>
      <c r="B22" s="2">
        <v>8.5982000000000003E-2</v>
      </c>
      <c r="C22" s="2">
        <v>8.6612999999999996E-2</v>
      </c>
      <c r="D22" s="2">
        <v>8.6067000000000005E-2</v>
      </c>
      <c r="E22" s="2">
        <v>8.6018999999999998E-2</v>
      </c>
      <c r="F22" s="5">
        <f t="shared" si="0"/>
        <v>0.73387453187876428</v>
      </c>
      <c r="G22" s="5">
        <f t="shared" si="1"/>
        <v>9.8857900490800787E-2</v>
      </c>
      <c r="H22" s="5">
        <f t="shared" si="2"/>
        <v>4.3032262566589097E-2</v>
      </c>
    </row>
    <row r="23" spans="1:8" x14ac:dyDescent="0.3">
      <c r="A23" s="1">
        <v>21.5</v>
      </c>
      <c r="B23" s="2">
        <v>8.3186999999999997E-2</v>
      </c>
      <c r="C23" s="2">
        <v>8.3676E-2</v>
      </c>
      <c r="D23" s="2">
        <v>8.3271999999999999E-2</v>
      </c>
      <c r="E23" s="2">
        <v>8.3236000000000004E-2</v>
      </c>
      <c r="F23" s="5">
        <f t="shared" si="0"/>
        <v>0.58783223340186375</v>
      </c>
      <c r="G23" s="5">
        <f t="shared" si="1"/>
        <v>0.10217942707393401</v>
      </c>
      <c r="H23" s="5">
        <f t="shared" si="2"/>
        <v>5.8903434430868096E-2</v>
      </c>
    </row>
    <row r="24" spans="1:8" x14ac:dyDescent="0.3">
      <c r="A24" s="1">
        <v>22.5</v>
      </c>
      <c r="B24" s="2">
        <v>7.9568E-2</v>
      </c>
      <c r="C24" s="2">
        <v>7.9959000000000002E-2</v>
      </c>
      <c r="D24" s="2">
        <v>7.9652000000000001E-2</v>
      </c>
      <c r="E24" s="2">
        <v>7.9601000000000005E-2</v>
      </c>
      <c r="F24" s="5">
        <f t="shared" si="0"/>
        <v>0.49140357932837553</v>
      </c>
      <c r="G24" s="5">
        <f t="shared" si="1"/>
        <v>0.1055700784234892</v>
      </c>
      <c r="H24" s="5">
        <f t="shared" si="2"/>
        <v>4.1473959380655678E-2</v>
      </c>
    </row>
    <row r="25" spans="1:8" x14ac:dyDescent="0.3">
      <c r="A25" s="1">
        <v>23.5</v>
      </c>
      <c r="B25" s="2">
        <v>7.5259999999999994E-2</v>
      </c>
      <c r="C25" s="2">
        <v>7.5570999999999999E-2</v>
      </c>
      <c r="D25" s="2">
        <v>7.5341000000000005E-2</v>
      </c>
      <c r="E25" s="2">
        <v>7.5304999999999997E-2</v>
      </c>
      <c r="F25" s="5">
        <f t="shared" si="0"/>
        <v>0.41323412171141438</v>
      </c>
      <c r="G25" s="5">
        <f t="shared" si="1"/>
        <v>0.10762689343610798</v>
      </c>
      <c r="H25" s="5">
        <f t="shared" si="2"/>
        <v>5.979271857561308E-2</v>
      </c>
    </row>
    <row r="26" spans="1:8" x14ac:dyDescent="0.3">
      <c r="A26" s="1">
        <v>24.5</v>
      </c>
      <c r="B26" s="2">
        <v>7.0433999999999997E-2</v>
      </c>
      <c r="C26" s="2">
        <v>7.0656999999999998E-2</v>
      </c>
      <c r="D26" s="2">
        <v>7.0511000000000004E-2</v>
      </c>
      <c r="E26" s="2">
        <v>7.0466000000000001E-2</v>
      </c>
      <c r="F26" s="5">
        <f t="shared" si="0"/>
        <v>0.31660845614334132</v>
      </c>
      <c r="G26" s="5">
        <f t="shared" si="1"/>
        <v>0.1093222023454743</v>
      </c>
      <c r="H26" s="5">
        <f t="shared" si="2"/>
        <v>4.5432603572148622E-2</v>
      </c>
    </row>
    <row r="27" spans="1:8" x14ac:dyDescent="0.3">
      <c r="A27" s="1">
        <v>25.5</v>
      </c>
      <c r="B27" s="2">
        <v>6.5276000000000001E-2</v>
      </c>
      <c r="C27" s="2">
        <v>6.5462000000000006E-2</v>
      </c>
      <c r="D27" s="2">
        <v>6.5347000000000002E-2</v>
      </c>
      <c r="E27" s="2">
        <v>6.5318000000000001E-2</v>
      </c>
      <c r="F27" s="5">
        <f t="shared" si="0"/>
        <v>0.28494393038789312</v>
      </c>
      <c r="G27" s="5">
        <f t="shared" si="1"/>
        <v>0.10876891966420388</v>
      </c>
      <c r="H27" s="5">
        <f t="shared" si="2"/>
        <v>6.4342177829534997E-2</v>
      </c>
    </row>
    <row r="28" spans="1:8" x14ac:dyDescent="0.3">
      <c r="A28" s="1">
        <v>26.5</v>
      </c>
      <c r="B28" s="2">
        <v>5.9963000000000002E-2</v>
      </c>
      <c r="C28" s="2">
        <v>6.0081000000000002E-2</v>
      </c>
      <c r="D28" s="2">
        <v>6.0028999999999999E-2</v>
      </c>
      <c r="E28" s="2">
        <v>5.9993999999999999E-2</v>
      </c>
      <c r="F28" s="5">
        <f t="shared" si="0"/>
        <v>0.19678801927855982</v>
      </c>
      <c r="G28" s="5">
        <f t="shared" si="1"/>
        <v>0.11006787518970107</v>
      </c>
      <c r="H28" s="5">
        <f t="shared" si="2"/>
        <v>5.1698547437584175E-2</v>
      </c>
    </row>
    <row r="29" spans="1:8" x14ac:dyDescent="0.3">
      <c r="A29" s="1">
        <v>27.5</v>
      </c>
      <c r="B29" s="2">
        <v>5.4650999999999998E-2</v>
      </c>
      <c r="C29" s="2">
        <v>5.4758000000000001E-2</v>
      </c>
      <c r="D29" s="2">
        <v>5.4711000000000003E-2</v>
      </c>
      <c r="E29" s="2">
        <v>5.4689000000000002E-2</v>
      </c>
      <c r="F29" s="5">
        <f t="shared" si="0"/>
        <v>0.19578781724032268</v>
      </c>
      <c r="G29" s="5">
        <f t="shared" si="1"/>
        <v>0.10978756106934107</v>
      </c>
      <c r="H29" s="5">
        <f t="shared" si="2"/>
        <v>6.9532122010573794E-2</v>
      </c>
    </row>
    <row r="30" spans="1:8" x14ac:dyDescent="0.3">
      <c r="A30" s="1">
        <v>28.5</v>
      </c>
      <c r="B30" s="2">
        <v>4.9467999999999998E-2</v>
      </c>
      <c r="C30" s="2">
        <v>4.9525E-2</v>
      </c>
      <c r="D30" s="2">
        <v>4.9522999999999998E-2</v>
      </c>
      <c r="E30" s="2">
        <v>4.9496999999999999E-2</v>
      </c>
      <c r="F30" s="5">
        <f t="shared" si="0"/>
        <v>0.11522600468989452</v>
      </c>
      <c r="G30" s="5">
        <f t="shared" si="1"/>
        <v>0.11118298698147289</v>
      </c>
      <c r="H30" s="5">
        <f t="shared" si="2"/>
        <v>5.8623756772058222E-2</v>
      </c>
    </row>
    <row r="31" spans="1:8" x14ac:dyDescent="0.3">
      <c r="A31" s="1">
        <v>29.5</v>
      </c>
      <c r="B31" s="2">
        <v>4.4511000000000002E-2</v>
      </c>
      <c r="C31" s="2">
        <v>4.4568999999999998E-2</v>
      </c>
      <c r="D31" s="2">
        <v>4.4560000000000002E-2</v>
      </c>
      <c r="E31" s="2">
        <v>4.4544E-2</v>
      </c>
      <c r="F31" s="5">
        <f t="shared" si="0"/>
        <v>0.13030486845946321</v>
      </c>
      <c r="G31" s="5">
        <f t="shared" si="1"/>
        <v>0.11008514749162313</v>
      </c>
      <c r="H31" s="5">
        <f t="shared" si="2"/>
        <v>7.4138976882109908E-2</v>
      </c>
    </row>
    <row r="32" spans="1:8" x14ac:dyDescent="0.3">
      <c r="A32" s="1">
        <v>30.5</v>
      </c>
      <c r="B32" s="2">
        <v>3.9848000000000001E-2</v>
      </c>
      <c r="C32" s="2">
        <v>3.9871999999999998E-2</v>
      </c>
      <c r="D32" s="2">
        <v>3.9891999999999997E-2</v>
      </c>
      <c r="E32" s="2">
        <v>3.9874E-2</v>
      </c>
      <c r="F32" s="5">
        <f t="shared" si="0"/>
        <v>6.0228869704870291E-2</v>
      </c>
      <c r="G32" s="5">
        <f t="shared" si="1"/>
        <v>0.11041959445892147</v>
      </c>
      <c r="H32" s="5">
        <f t="shared" si="2"/>
        <v>6.524794218027985E-2</v>
      </c>
    </row>
    <row r="33" spans="1:8" x14ac:dyDescent="0.3">
      <c r="A33" s="1">
        <v>31.5</v>
      </c>
      <c r="B33" s="2">
        <v>3.5525000000000001E-2</v>
      </c>
      <c r="C33" s="2">
        <v>3.5555000000000003E-2</v>
      </c>
      <c r="D33" s="2">
        <v>3.5563999999999998E-2</v>
      </c>
      <c r="E33" s="2">
        <v>3.5553000000000001E-2</v>
      </c>
      <c r="F33" s="5">
        <f t="shared" si="0"/>
        <v>8.4447572132306803E-2</v>
      </c>
      <c r="G33" s="5">
        <f t="shared" si="1"/>
        <v>0.1097818437719944</v>
      </c>
      <c r="H33" s="5">
        <f t="shared" si="2"/>
        <v>7.8817733990144134E-2</v>
      </c>
    </row>
    <row r="34" spans="1:8" x14ac:dyDescent="0.3">
      <c r="A34" s="1">
        <v>32.5</v>
      </c>
      <c r="B34" s="2">
        <v>3.1564000000000002E-2</v>
      </c>
      <c r="C34" s="2">
        <v>3.1570000000000001E-2</v>
      </c>
      <c r="D34" s="2">
        <v>3.1599000000000002E-2</v>
      </c>
      <c r="E34" s="2">
        <v>3.1586000000000003E-2</v>
      </c>
      <c r="F34" s="5">
        <f t="shared" ref="F34:F65" si="3">100*(C34/B34-1)</f>
        <v>1.9008997592195875E-2</v>
      </c>
      <c r="G34" s="5">
        <f t="shared" ref="G34:G65" si="4">100*(D34/B34-1)</f>
        <v>0.11088581928779817</v>
      </c>
      <c r="H34" s="5">
        <f t="shared" si="2"/>
        <v>6.9699657838051543E-2</v>
      </c>
    </row>
    <row r="35" spans="1:8" x14ac:dyDescent="0.3">
      <c r="A35" s="1">
        <v>33.5</v>
      </c>
      <c r="B35" s="2">
        <v>2.7976000000000001E-2</v>
      </c>
      <c r="C35" s="2">
        <v>2.7990999999999999E-2</v>
      </c>
      <c r="D35" s="2">
        <v>2.8007000000000001E-2</v>
      </c>
      <c r="E35" s="2">
        <v>2.7999E-2</v>
      </c>
      <c r="F35" s="5">
        <f t="shared" si="3"/>
        <v>5.3617386331139549E-2</v>
      </c>
      <c r="G35" s="5">
        <f t="shared" si="4"/>
        <v>0.11080926508435507</v>
      </c>
      <c r="H35" s="5">
        <f t="shared" si="2"/>
        <v>8.2213325707747309E-2</v>
      </c>
    </row>
    <row r="36" spans="1:8" x14ac:dyDescent="0.3">
      <c r="A36" s="1">
        <v>34.5</v>
      </c>
      <c r="B36" s="2">
        <v>2.4753000000000001E-2</v>
      </c>
      <c r="C36" s="2">
        <v>2.4750999999999999E-2</v>
      </c>
      <c r="D36" s="2">
        <v>2.478E-2</v>
      </c>
      <c r="E36" s="2">
        <v>2.4771000000000001E-2</v>
      </c>
      <c r="F36" s="5">
        <f t="shared" si="3"/>
        <v>-8.0798287076411235E-3</v>
      </c>
      <c r="G36" s="5">
        <f t="shared" si="4"/>
        <v>0.10907768755301639</v>
      </c>
      <c r="H36" s="5">
        <f t="shared" si="2"/>
        <v>7.2718458368692396E-2</v>
      </c>
    </row>
    <row r="37" spans="1:8" x14ac:dyDescent="0.3">
      <c r="A37" s="1">
        <v>35.5</v>
      </c>
      <c r="B37" s="2">
        <v>2.1874999999999999E-2</v>
      </c>
      <c r="C37" s="2">
        <v>2.1883E-2</v>
      </c>
      <c r="D37" s="2">
        <v>2.1898999999999998E-2</v>
      </c>
      <c r="E37" s="2">
        <v>2.1894E-2</v>
      </c>
      <c r="F37" s="5">
        <f t="shared" si="3"/>
        <v>3.6571428571430253E-2</v>
      </c>
      <c r="G37" s="5">
        <f t="shared" si="4"/>
        <v>0.10971428571429076</v>
      </c>
      <c r="H37" s="5">
        <f t="shared" si="2"/>
        <v>8.6857142857144076E-2</v>
      </c>
    </row>
    <row r="38" spans="1:8" x14ac:dyDescent="0.3">
      <c r="A38" s="1">
        <v>36.5</v>
      </c>
      <c r="B38" s="2">
        <v>1.9317999999999998E-2</v>
      </c>
      <c r="C38" s="2">
        <v>1.9314000000000001E-2</v>
      </c>
      <c r="D38" s="2">
        <v>1.9338999999999999E-2</v>
      </c>
      <c r="E38" s="2">
        <v>1.9331999999999998E-2</v>
      </c>
      <c r="F38" s="5">
        <f t="shared" si="3"/>
        <v>-2.0706077233656472E-2</v>
      </c>
      <c r="G38" s="5">
        <f t="shared" si="4"/>
        <v>0.10870690547675199</v>
      </c>
      <c r="H38" s="5">
        <f t="shared" si="2"/>
        <v>7.2471270317842063E-2</v>
      </c>
    </row>
    <row r="39" spans="1:8" x14ac:dyDescent="0.3">
      <c r="A39" s="1">
        <v>37.5</v>
      </c>
      <c r="B39" s="2">
        <v>1.7052999999999999E-2</v>
      </c>
      <c r="C39" s="2">
        <v>1.7056999999999999E-2</v>
      </c>
      <c r="D39" s="2">
        <v>1.7072E-2</v>
      </c>
      <c r="E39" s="2">
        <v>1.7069000000000001E-2</v>
      </c>
      <c r="F39" s="5">
        <f t="shared" si="3"/>
        <v>2.3456283351896978E-2</v>
      </c>
      <c r="G39" s="5">
        <f t="shared" si="4"/>
        <v>0.1114173459215495</v>
      </c>
      <c r="H39" s="5">
        <f t="shared" si="2"/>
        <v>9.3825133407632322E-2</v>
      </c>
    </row>
    <row r="40" spans="1:8" x14ac:dyDescent="0.3">
      <c r="A40" s="1">
        <v>38.5</v>
      </c>
      <c r="B40" s="2">
        <v>1.5054E-2</v>
      </c>
      <c r="C40" s="2">
        <v>1.5049999999999999E-2</v>
      </c>
      <c r="D40" s="2">
        <v>1.507E-2</v>
      </c>
      <c r="E40" s="2">
        <v>1.5066E-2</v>
      </c>
      <c r="F40" s="5">
        <f t="shared" si="3"/>
        <v>-2.6571011026976787E-2</v>
      </c>
      <c r="G40" s="5">
        <f t="shared" si="4"/>
        <v>0.10628404410788495</v>
      </c>
      <c r="H40" s="5">
        <f t="shared" si="2"/>
        <v>7.9713033080897056E-2</v>
      </c>
    </row>
    <row r="41" spans="1:8" x14ac:dyDescent="0.3">
      <c r="A41" s="1">
        <v>39.5</v>
      </c>
      <c r="B41" s="2">
        <v>1.3292E-2</v>
      </c>
      <c r="C41" s="2">
        <v>1.3294E-2</v>
      </c>
      <c r="D41" s="2">
        <v>1.3306E-2</v>
      </c>
      <c r="E41" s="2">
        <v>1.3304E-2</v>
      </c>
      <c r="F41" s="5">
        <f t="shared" si="3"/>
        <v>1.5046644598259995E-2</v>
      </c>
      <c r="G41" s="5">
        <f t="shared" si="4"/>
        <v>0.10532651218777556</v>
      </c>
      <c r="H41" s="5">
        <f t="shared" si="2"/>
        <v>9.0279867589515561E-2</v>
      </c>
    </row>
    <row r="42" spans="1:8" x14ac:dyDescent="0.3">
      <c r="A42" s="1">
        <v>40.5</v>
      </c>
      <c r="B42" s="2">
        <v>1.174E-2</v>
      </c>
      <c r="C42" s="2">
        <v>1.1736999999999999E-2</v>
      </c>
      <c r="D42" s="2">
        <v>1.1753E-2</v>
      </c>
      <c r="E42" s="2">
        <v>1.175E-2</v>
      </c>
      <c r="F42" s="5">
        <f t="shared" si="3"/>
        <v>-2.5553662691668588E-2</v>
      </c>
      <c r="G42" s="5">
        <f t="shared" si="4"/>
        <v>0.11073253833049357</v>
      </c>
      <c r="H42" s="5">
        <f t="shared" si="2"/>
        <v>8.5178875638836082E-2</v>
      </c>
    </row>
    <row r="43" spans="1:8" x14ac:dyDescent="0.3">
      <c r="A43" s="1">
        <v>41.5</v>
      </c>
      <c r="B43" s="2">
        <v>1.0375000000000001E-2</v>
      </c>
      <c r="C43" s="2">
        <v>1.0377000000000001E-2</v>
      </c>
      <c r="D43" s="2">
        <v>1.0387E-2</v>
      </c>
      <c r="E43" s="2">
        <v>1.0385E-2</v>
      </c>
      <c r="F43" s="5">
        <f t="shared" si="3"/>
        <v>1.9277108433746193E-2</v>
      </c>
      <c r="G43" s="5">
        <f t="shared" si="4"/>
        <v>0.11566265060241054</v>
      </c>
      <c r="H43" s="5">
        <f t="shared" si="2"/>
        <v>9.6385542168664351E-2</v>
      </c>
    </row>
    <row r="44" spans="1:8" x14ac:dyDescent="0.3">
      <c r="A44" s="1">
        <v>42.5</v>
      </c>
      <c r="B44" s="2">
        <v>9.1748999999999997E-3</v>
      </c>
      <c r="C44" s="2">
        <v>9.1725000000000001E-3</v>
      </c>
      <c r="D44" s="2">
        <v>9.1848999999999993E-3</v>
      </c>
      <c r="E44" s="2">
        <v>9.1826000000000008E-3</v>
      </c>
      <c r="F44" s="5">
        <f t="shared" si="3"/>
        <v>-2.6158323251479487E-2</v>
      </c>
      <c r="G44" s="5">
        <f t="shared" si="4"/>
        <v>0.1089930135478312</v>
      </c>
      <c r="H44" s="5">
        <f t="shared" si="2"/>
        <v>8.3924620431852226E-2</v>
      </c>
    </row>
    <row r="45" spans="1:8" x14ac:dyDescent="0.3">
      <c r="A45" s="1">
        <v>43.5</v>
      </c>
      <c r="B45" s="2">
        <v>8.1188000000000007E-3</v>
      </c>
      <c r="C45" s="2">
        <v>8.1198999999999993E-3</v>
      </c>
      <c r="D45" s="2">
        <v>8.1276999999999999E-3</v>
      </c>
      <c r="E45" s="2">
        <v>8.1265E-3</v>
      </c>
      <c r="F45" s="5">
        <f t="shared" si="3"/>
        <v>1.3548800315299481E-2</v>
      </c>
      <c r="G45" s="5">
        <f t="shared" si="4"/>
        <v>0.10962211164209368</v>
      </c>
      <c r="H45" s="5">
        <f t="shared" si="2"/>
        <v>9.4841602207207387E-2</v>
      </c>
    </row>
    <row r="46" spans="1:8" x14ac:dyDescent="0.3">
      <c r="A46" s="1">
        <v>44.5</v>
      </c>
      <c r="B46" s="2">
        <v>7.1891999999999998E-3</v>
      </c>
      <c r="C46" s="2">
        <v>7.1875000000000003E-3</v>
      </c>
      <c r="D46" s="2">
        <v>7.1970000000000003E-3</v>
      </c>
      <c r="E46" s="2">
        <v>7.1954000000000002E-3</v>
      </c>
      <c r="F46" s="5">
        <f t="shared" si="3"/>
        <v>-2.3646580982572551E-2</v>
      </c>
      <c r="G46" s="5">
        <f t="shared" si="4"/>
        <v>0.10849607744951584</v>
      </c>
      <c r="H46" s="5">
        <f t="shared" si="2"/>
        <v>8.6240471818843645E-2</v>
      </c>
    </row>
    <row r="47" spans="1:8" x14ac:dyDescent="0.3">
      <c r="A47" s="1">
        <v>45.5</v>
      </c>
      <c r="B47" s="2">
        <v>6.3699999999999998E-3</v>
      </c>
      <c r="C47" s="2">
        <v>6.3708999999999997E-3</v>
      </c>
      <c r="D47" s="2">
        <v>6.3768999999999996E-3</v>
      </c>
      <c r="E47" s="2">
        <v>6.3761E-3</v>
      </c>
      <c r="F47" s="5">
        <f t="shared" si="3"/>
        <v>1.4128728414442016E-2</v>
      </c>
      <c r="G47" s="5">
        <f t="shared" si="4"/>
        <v>0.10832025117739619</v>
      </c>
      <c r="H47" s="5">
        <f t="shared" si="2"/>
        <v>9.5761381475667484E-2</v>
      </c>
    </row>
    <row r="48" spans="1:8" x14ac:dyDescent="0.3">
      <c r="A48" s="1">
        <v>46.5</v>
      </c>
      <c r="B48" s="2">
        <v>5.6473000000000001E-3</v>
      </c>
      <c r="C48" s="2">
        <v>5.6461999999999997E-3</v>
      </c>
      <c r="D48" s="2">
        <v>5.6534000000000003E-3</v>
      </c>
      <c r="E48" s="2">
        <v>5.6522999999999999E-3</v>
      </c>
      <c r="F48" s="5">
        <f t="shared" si="3"/>
        <v>-1.9478334779454709E-2</v>
      </c>
      <c r="G48" s="5">
        <f t="shared" si="4"/>
        <v>0.10801622014060541</v>
      </c>
      <c r="H48" s="5">
        <f t="shared" si="2"/>
        <v>8.8537885361139601E-2</v>
      </c>
    </row>
    <row r="49" spans="1:8" x14ac:dyDescent="0.3">
      <c r="A49" s="1">
        <v>47.5</v>
      </c>
      <c r="B49" s="2">
        <v>5.0086999999999996E-3</v>
      </c>
      <c r="C49" s="2">
        <v>5.0095000000000001E-3</v>
      </c>
      <c r="D49" s="2">
        <v>5.0141999999999999E-3</v>
      </c>
      <c r="E49" s="2">
        <v>5.0136E-3</v>
      </c>
      <c r="F49" s="5">
        <f t="shared" si="3"/>
        <v>1.597220835747315E-2</v>
      </c>
      <c r="G49" s="5">
        <f t="shared" si="4"/>
        <v>0.10980893245753354</v>
      </c>
      <c r="H49" s="5">
        <f t="shared" si="2"/>
        <v>9.7829776189439777E-2</v>
      </c>
    </row>
    <row r="50" spans="1:8" x14ac:dyDescent="0.3">
      <c r="A50" s="1">
        <v>48.5</v>
      </c>
      <c r="B50" s="2">
        <v>4.4438000000000004E-3</v>
      </c>
      <c r="C50" s="2">
        <v>4.4429999999999999E-3</v>
      </c>
      <c r="D50" s="2">
        <v>4.4485999999999996E-3</v>
      </c>
      <c r="E50" s="2">
        <v>4.4476999999999997E-3</v>
      </c>
      <c r="F50" s="5">
        <f t="shared" si="3"/>
        <v>-1.8002610378520245E-2</v>
      </c>
      <c r="G50" s="5">
        <f t="shared" si="4"/>
        <v>0.10801566227101045</v>
      </c>
      <c r="H50" s="5">
        <f t="shared" si="2"/>
        <v>8.7762725595208479E-2</v>
      </c>
    </row>
    <row r="51" spans="1:8" x14ac:dyDescent="0.3">
      <c r="A51" s="1">
        <v>49.5</v>
      </c>
      <c r="B51" s="2">
        <v>3.9430999999999997E-3</v>
      </c>
      <c r="C51" s="2">
        <v>3.9437999999999999E-3</v>
      </c>
      <c r="D51" s="2">
        <v>3.9474000000000002E-3</v>
      </c>
      <c r="E51" s="2">
        <v>3.947E-3</v>
      </c>
      <c r="F51" s="5">
        <f t="shared" si="3"/>
        <v>1.7752529735481914E-2</v>
      </c>
      <c r="G51" s="5">
        <f t="shared" si="4"/>
        <v>0.10905125408944283</v>
      </c>
      <c r="H51" s="5">
        <f t="shared" si="2"/>
        <v>9.8906951383437303E-2</v>
      </c>
    </row>
    <row r="52" spans="1:8" x14ac:dyDescent="0.3">
      <c r="A52" s="1">
        <v>50.5</v>
      </c>
      <c r="B52" s="2">
        <v>3.4989000000000001E-3</v>
      </c>
      <c r="C52" s="2">
        <v>3.4984E-3</v>
      </c>
      <c r="D52" s="2">
        <v>3.5027000000000001E-3</v>
      </c>
      <c r="E52" s="2">
        <v>3.5021000000000002E-3</v>
      </c>
      <c r="F52" s="5">
        <f t="shared" si="3"/>
        <v>-1.4290205493161512E-2</v>
      </c>
      <c r="G52" s="5">
        <f t="shared" si="4"/>
        <v>0.10860556174798752</v>
      </c>
      <c r="H52" s="5">
        <f t="shared" si="2"/>
        <v>9.1457315156184826E-2</v>
      </c>
    </row>
    <row r="53" spans="1:8" x14ac:dyDescent="0.3">
      <c r="A53" s="1">
        <v>51.5</v>
      </c>
      <c r="B53" s="2">
        <v>3.1042000000000001E-3</v>
      </c>
      <c r="C53" s="2">
        <v>3.1047000000000002E-3</v>
      </c>
      <c r="D53" s="2">
        <v>3.1075999999999999E-3</v>
      </c>
      <c r="E53" s="2">
        <v>3.1072999999999999E-3</v>
      </c>
      <c r="F53" s="5">
        <f t="shared" si="3"/>
        <v>1.6107209587024052E-2</v>
      </c>
      <c r="G53" s="5">
        <f t="shared" si="4"/>
        <v>0.10952902519165697</v>
      </c>
      <c r="H53" s="5">
        <f t="shared" si="2"/>
        <v>9.9864699439455862E-2</v>
      </c>
    </row>
    <row r="54" spans="1:8" x14ac:dyDescent="0.3">
      <c r="A54" s="1">
        <v>52.5</v>
      </c>
      <c r="B54" s="2">
        <v>2.7531000000000001E-3</v>
      </c>
      <c r="C54" s="2">
        <v>2.7528000000000001E-3</v>
      </c>
      <c r="D54" s="2">
        <v>2.7561E-3</v>
      </c>
      <c r="E54" s="2">
        <v>2.7556E-3</v>
      </c>
      <c r="F54" s="5">
        <f t="shared" si="3"/>
        <v>-1.0896807235483141E-2</v>
      </c>
      <c r="G54" s="5">
        <f t="shared" si="4"/>
        <v>0.10896807235480921</v>
      </c>
      <c r="H54" s="5">
        <f t="shared" si="2"/>
        <v>9.0806726962333606E-2</v>
      </c>
    </row>
    <row r="55" spans="1:8" x14ac:dyDescent="0.3">
      <c r="A55" s="1">
        <v>53.5</v>
      </c>
      <c r="B55" s="2">
        <v>2.4404000000000001E-3</v>
      </c>
      <c r="C55" s="2">
        <v>2.4407999999999999E-3</v>
      </c>
      <c r="D55" s="2">
        <v>2.4431000000000001E-3</v>
      </c>
      <c r="E55" s="2">
        <v>2.4428000000000002E-3</v>
      </c>
      <c r="F55" s="5">
        <f t="shared" si="3"/>
        <v>1.6390755613815422E-2</v>
      </c>
      <c r="G55" s="5">
        <f t="shared" si="4"/>
        <v>0.11063760039338177</v>
      </c>
      <c r="H55" s="5">
        <f t="shared" si="2"/>
        <v>9.8344533683003554E-2</v>
      </c>
    </row>
    <row r="56" spans="1:8" x14ac:dyDescent="0.3">
      <c r="A56" s="1">
        <v>54.5</v>
      </c>
      <c r="B56" s="2">
        <v>2.1616999999999999E-3</v>
      </c>
      <c r="C56" s="2">
        <v>2.1614999999999998E-3</v>
      </c>
      <c r="D56" s="2">
        <v>2.1641E-3</v>
      </c>
      <c r="E56" s="2">
        <v>2.1637000000000002E-3</v>
      </c>
      <c r="F56" s="5">
        <f t="shared" si="3"/>
        <v>-9.2519776102140128E-3</v>
      </c>
      <c r="G56" s="5">
        <f t="shared" si="4"/>
        <v>0.11102373132256815</v>
      </c>
      <c r="H56" s="5">
        <f t="shared" si="2"/>
        <v>9.2519776102162332E-2</v>
      </c>
    </row>
    <row r="57" spans="1:8" x14ac:dyDescent="0.3">
      <c r="A57" s="1">
        <v>55.5</v>
      </c>
      <c r="B57" s="2">
        <v>1.913E-3</v>
      </c>
      <c r="C57" s="2">
        <v>1.9134E-3</v>
      </c>
      <c r="D57" s="2">
        <v>1.9151000000000001E-3</v>
      </c>
      <c r="E57" s="2">
        <v>1.9149E-3</v>
      </c>
      <c r="F57" s="5">
        <f t="shared" si="3"/>
        <v>2.090956612650352E-2</v>
      </c>
      <c r="G57" s="5">
        <f t="shared" si="4"/>
        <v>0.10977522216415458</v>
      </c>
      <c r="H57" s="5">
        <f t="shared" si="2"/>
        <v>9.932043910088062E-2</v>
      </c>
    </row>
    <row r="58" spans="1:8" x14ac:dyDescent="0.3">
      <c r="A58" s="1">
        <v>56.5</v>
      </c>
      <c r="B58" s="2">
        <v>1.691E-3</v>
      </c>
      <c r="C58" s="2">
        <v>1.6907999999999999E-3</v>
      </c>
      <c r="D58" s="2">
        <v>1.6929E-3</v>
      </c>
      <c r="E58" s="2">
        <v>1.6926000000000001E-3</v>
      </c>
      <c r="F58" s="5">
        <f t="shared" si="3"/>
        <v>-1.1827321111779199E-2</v>
      </c>
      <c r="G58" s="5">
        <f t="shared" si="4"/>
        <v>0.11235955056179137</v>
      </c>
      <c r="H58" s="5">
        <f t="shared" si="2"/>
        <v>9.4618568894144772E-2</v>
      </c>
    </row>
    <row r="59" spans="1:8" x14ac:dyDescent="0.3">
      <c r="A59" s="1">
        <v>57.5</v>
      </c>
      <c r="B59" s="2">
        <v>1.4927E-3</v>
      </c>
      <c r="C59" s="2">
        <v>1.4928999999999999E-3</v>
      </c>
      <c r="D59" s="2">
        <v>1.4943000000000001E-3</v>
      </c>
      <c r="E59" s="2">
        <v>1.4942E-3</v>
      </c>
      <c r="F59" s="5">
        <f t="shared" si="3"/>
        <v>1.3398539559172917E-2</v>
      </c>
      <c r="G59" s="5">
        <f t="shared" si="4"/>
        <v>0.10718831647351656</v>
      </c>
      <c r="H59" s="5">
        <f t="shared" si="2"/>
        <v>0.1004890466939079</v>
      </c>
    </row>
    <row r="60" spans="1:8" x14ac:dyDescent="0.3">
      <c r="A60" s="1">
        <v>58.5</v>
      </c>
      <c r="B60" s="2">
        <v>1.3155E-3</v>
      </c>
      <c r="C60" s="2">
        <v>1.3152999999999999E-3</v>
      </c>
      <c r="D60" s="2">
        <v>1.3169E-3</v>
      </c>
      <c r="E60" s="2">
        <v>1.3167000000000001E-3</v>
      </c>
      <c r="F60" s="5">
        <f t="shared" si="3"/>
        <v>-1.5203344735847946E-2</v>
      </c>
      <c r="G60" s="5">
        <f t="shared" si="4"/>
        <v>0.10642341315088011</v>
      </c>
      <c r="H60" s="5">
        <f t="shared" si="2"/>
        <v>9.1220068415043265E-2</v>
      </c>
    </row>
    <row r="61" spans="1:8" x14ac:dyDescent="0.3">
      <c r="A61" s="1">
        <v>59.5</v>
      </c>
      <c r="B61" s="2">
        <v>1.1573E-3</v>
      </c>
      <c r="C61" s="2">
        <v>1.1574000000000001E-3</v>
      </c>
      <c r="D61" s="2">
        <v>1.1585E-3</v>
      </c>
      <c r="E61" s="2">
        <v>1.1584E-3</v>
      </c>
      <c r="F61" s="5">
        <f t="shared" si="3"/>
        <v>8.6408018664219099E-3</v>
      </c>
      <c r="G61" s="5">
        <f t="shared" si="4"/>
        <v>0.1036896223969519</v>
      </c>
      <c r="H61" s="5">
        <f t="shared" si="2"/>
        <v>9.5048820530552192E-2</v>
      </c>
    </row>
    <row r="62" spans="1:8" x14ac:dyDescent="0.3">
      <c r="A62" s="1">
        <v>60.5</v>
      </c>
      <c r="B62" s="2">
        <v>1.0161E-3</v>
      </c>
      <c r="C62" s="2">
        <v>1.0158999999999999E-3</v>
      </c>
      <c r="D62" s="2">
        <v>1.0172E-3</v>
      </c>
      <c r="E62" s="2">
        <v>1.0169999999999999E-3</v>
      </c>
      <c r="F62" s="5">
        <f t="shared" si="3"/>
        <v>-1.9683102056899937E-2</v>
      </c>
      <c r="G62" s="5">
        <f t="shared" si="4"/>
        <v>0.10825706131285528</v>
      </c>
      <c r="H62" s="5">
        <f t="shared" si="2"/>
        <v>8.857395925596645E-2</v>
      </c>
    </row>
    <row r="63" spans="1:8" x14ac:dyDescent="0.3">
      <c r="A63" s="1">
        <v>61.5</v>
      </c>
      <c r="B63" s="2">
        <v>8.9026999999999997E-4</v>
      </c>
      <c r="C63" s="2">
        <v>8.9030000000000001E-4</v>
      </c>
      <c r="D63" s="2">
        <v>8.9123999999999996E-4</v>
      </c>
      <c r="E63" s="2">
        <v>8.9114000000000001E-4</v>
      </c>
      <c r="F63" s="5">
        <f t="shared" si="3"/>
        <v>3.369764228833283E-3</v>
      </c>
      <c r="G63" s="5">
        <f t="shared" si="4"/>
        <v>0.10895571006548366</v>
      </c>
      <c r="H63" s="5">
        <f t="shared" si="2"/>
        <v>9.7723162636054184E-2</v>
      </c>
    </row>
    <row r="64" spans="1:8" x14ac:dyDescent="0.3">
      <c r="A64" s="1">
        <v>62.5</v>
      </c>
      <c r="B64" s="2">
        <v>7.7831000000000005E-4</v>
      </c>
      <c r="C64" s="2">
        <v>7.7808E-4</v>
      </c>
      <c r="D64" s="2">
        <v>7.7915999999999999E-4</v>
      </c>
      <c r="E64" s="2">
        <v>7.7901000000000001E-4</v>
      </c>
      <c r="F64" s="5">
        <f t="shared" si="3"/>
        <v>-2.9551207102573862E-2</v>
      </c>
      <c r="G64" s="5">
        <f t="shared" si="4"/>
        <v>0.10921098277034691</v>
      </c>
      <c r="H64" s="5">
        <f t="shared" si="2"/>
        <v>8.9938456399107913E-2</v>
      </c>
    </row>
    <row r="65" spans="1:8" x14ac:dyDescent="0.3">
      <c r="A65" s="1">
        <v>63.5</v>
      </c>
      <c r="B65" s="2">
        <v>6.7887000000000004E-4</v>
      </c>
      <c r="C65" s="2">
        <v>6.7885000000000005E-4</v>
      </c>
      <c r="D65" s="2">
        <v>6.7962000000000003E-4</v>
      </c>
      <c r="E65" s="2">
        <v>6.7953999999999996E-4</v>
      </c>
      <c r="F65" s="5">
        <f t="shared" si="3"/>
        <v>-2.9460721493013153E-3</v>
      </c>
      <c r="G65" s="5">
        <f t="shared" si="4"/>
        <v>0.11047770559899917</v>
      </c>
      <c r="H65" s="5">
        <f t="shared" si="2"/>
        <v>9.8693417001771699E-2</v>
      </c>
    </row>
    <row r="66" spans="1:8" x14ac:dyDescent="0.3">
      <c r="A66" s="1">
        <v>64.5</v>
      </c>
      <c r="B66" s="2">
        <v>5.9077000000000001E-4</v>
      </c>
      <c r="C66" s="2">
        <v>5.9053000000000003E-4</v>
      </c>
      <c r="D66" s="2">
        <v>5.9141E-4</v>
      </c>
      <c r="E66" s="2">
        <v>5.9128999999999996E-4</v>
      </c>
      <c r="F66" s="5">
        <f t="shared" ref="F66:F81" si="5">100*(C66/B66-1)</f>
        <v>-4.0624947102929632E-2</v>
      </c>
      <c r="G66" s="5">
        <f t="shared" ref="G66:G81" si="6">100*(D66/B66-1)</f>
        <v>0.10833319227447902</v>
      </c>
      <c r="H66" s="5">
        <f t="shared" si="2"/>
        <v>8.80207187230031E-2</v>
      </c>
    </row>
    <row r="67" spans="1:8" x14ac:dyDescent="0.3">
      <c r="A67" s="1">
        <v>65.5</v>
      </c>
      <c r="B67" s="2">
        <v>5.1287999999999995E-4</v>
      </c>
      <c r="C67" s="2">
        <v>5.1281999999999999E-4</v>
      </c>
      <c r="D67" s="2">
        <v>5.1343999999999999E-4</v>
      </c>
      <c r="E67" s="2">
        <v>5.1338000000000002E-4</v>
      </c>
      <c r="F67" s="5">
        <f t="shared" si="5"/>
        <v>-1.1698642957413963E-2</v>
      </c>
      <c r="G67" s="5">
        <f t="shared" si="6"/>
        <v>0.10918733426923399</v>
      </c>
      <c r="H67" s="5">
        <f t="shared" ref="H67:H81" si="7">100*(E67/B67-1)</f>
        <v>9.7488691311831133E-2</v>
      </c>
    </row>
    <row r="68" spans="1:8" x14ac:dyDescent="0.3">
      <c r="A68" s="1">
        <v>66.5</v>
      </c>
      <c r="B68" s="2">
        <v>4.4422E-4</v>
      </c>
      <c r="C68" s="2">
        <v>4.4399000000000001E-4</v>
      </c>
      <c r="D68" s="2">
        <v>4.4470000000000002E-4</v>
      </c>
      <c r="E68" s="2">
        <v>4.4461000000000001E-4</v>
      </c>
      <c r="F68" s="5">
        <f t="shared" si="5"/>
        <v>-5.1776146954207736E-2</v>
      </c>
      <c r="G68" s="5">
        <f t="shared" si="6"/>
        <v>0.10805456755662579</v>
      </c>
      <c r="H68" s="5">
        <f t="shared" si="7"/>
        <v>8.7794336139745965E-2</v>
      </c>
    </row>
    <row r="69" spans="1:8" x14ac:dyDescent="0.3">
      <c r="A69" s="1">
        <v>67.5</v>
      </c>
      <c r="B69" s="2">
        <v>3.8383999999999998E-4</v>
      </c>
      <c r="C69" s="2">
        <v>3.8376000000000003E-4</v>
      </c>
      <c r="D69" s="2">
        <v>3.8425999999999998E-4</v>
      </c>
      <c r="E69" s="2">
        <v>3.8421000000000001E-4</v>
      </c>
      <c r="F69" s="5">
        <f t="shared" si="5"/>
        <v>-2.0842017507283206E-2</v>
      </c>
      <c r="G69" s="5">
        <f t="shared" si="6"/>
        <v>0.10942059191330067</v>
      </c>
      <c r="H69" s="5">
        <f t="shared" si="7"/>
        <v>9.6394330971238951E-2</v>
      </c>
    </row>
    <row r="70" spans="1:8" x14ac:dyDescent="0.3">
      <c r="A70" s="1">
        <v>68.5</v>
      </c>
      <c r="B70" s="2">
        <v>3.3091000000000001E-4</v>
      </c>
      <c r="C70" s="2">
        <v>3.3070000000000002E-4</v>
      </c>
      <c r="D70" s="2">
        <v>3.3126999999999999E-4</v>
      </c>
      <c r="E70" s="2">
        <v>3.3118999999999998E-4</v>
      </c>
      <c r="F70" s="5">
        <f t="shared" si="5"/>
        <v>-6.3461364117134433E-2</v>
      </c>
      <c r="G70" s="5">
        <f t="shared" si="6"/>
        <v>0.10879090991506857</v>
      </c>
      <c r="H70" s="5">
        <f t="shared" si="7"/>
        <v>8.4615152156164442E-2</v>
      </c>
    </row>
    <row r="71" spans="1:8" x14ac:dyDescent="0.3">
      <c r="A71" s="1">
        <v>69.5</v>
      </c>
      <c r="B71" s="2">
        <v>2.8464000000000001E-4</v>
      </c>
      <c r="C71" s="2">
        <v>2.8455E-4</v>
      </c>
      <c r="D71" s="2">
        <v>2.8495000000000001E-4</v>
      </c>
      <c r="E71" s="2">
        <v>2.8490999999999998E-4</v>
      </c>
      <c r="F71" s="5">
        <f t="shared" si="5"/>
        <v>-3.161888701518345E-2</v>
      </c>
      <c r="G71" s="5">
        <f t="shared" si="6"/>
        <v>0.10890949971893438</v>
      </c>
      <c r="H71" s="5">
        <f t="shared" si="7"/>
        <v>9.4856661045517043E-2</v>
      </c>
    </row>
    <row r="72" spans="1:8" x14ac:dyDescent="0.3">
      <c r="A72" s="1">
        <v>70.5</v>
      </c>
      <c r="B72" s="2">
        <v>2.4431000000000002E-4</v>
      </c>
      <c r="C72" s="2">
        <v>2.4411999999999999E-4</v>
      </c>
      <c r="D72" s="2">
        <v>2.4457999999999999E-4</v>
      </c>
      <c r="E72" s="2">
        <v>2.4452000000000002E-4</v>
      </c>
      <c r="F72" s="5">
        <f t="shared" si="5"/>
        <v>-7.7770046252723102E-2</v>
      </c>
      <c r="G72" s="5">
        <f t="shared" si="6"/>
        <v>0.11051532888541882</v>
      </c>
      <c r="H72" s="5">
        <f t="shared" si="7"/>
        <v>8.5956366910888704E-2</v>
      </c>
    </row>
    <row r="73" spans="1:8" x14ac:dyDescent="0.3">
      <c r="A73" s="1">
        <v>71.5</v>
      </c>
      <c r="B73" s="2">
        <v>2.0927000000000001E-4</v>
      </c>
      <c r="C73" s="2">
        <v>2.0918999999999999E-4</v>
      </c>
      <c r="D73" s="2">
        <v>2.095E-4</v>
      </c>
      <c r="E73" s="2">
        <v>2.0947000000000001E-4</v>
      </c>
      <c r="F73" s="5">
        <f t="shared" si="5"/>
        <v>-3.822812634396433E-2</v>
      </c>
      <c r="G73" s="5">
        <f t="shared" si="6"/>
        <v>0.10990586323886831</v>
      </c>
      <c r="H73" s="5">
        <f t="shared" si="7"/>
        <v>9.5570315859894173E-2</v>
      </c>
    </row>
    <row r="74" spans="1:8" x14ac:dyDescent="0.3">
      <c r="A74" s="1">
        <v>72.5</v>
      </c>
      <c r="B74" s="2">
        <v>1.7891000000000001E-4</v>
      </c>
      <c r="C74" s="2">
        <v>1.7874000000000001E-4</v>
      </c>
      <c r="D74" s="2">
        <v>1.7911000000000001E-4</v>
      </c>
      <c r="E74" s="2">
        <v>1.7906000000000001E-4</v>
      </c>
      <c r="F74" s="5">
        <f t="shared" si="5"/>
        <v>-9.5019842378840647E-2</v>
      </c>
      <c r="G74" s="5">
        <f t="shared" si="6"/>
        <v>0.11178804985747526</v>
      </c>
      <c r="H74" s="5">
        <f t="shared" si="7"/>
        <v>8.3841037393095341E-2</v>
      </c>
    </row>
    <row r="75" spans="1:8" x14ac:dyDescent="0.3">
      <c r="A75" s="1">
        <v>73.5</v>
      </c>
      <c r="B75" s="2">
        <v>1.5273000000000001E-4</v>
      </c>
      <c r="C75" s="2">
        <v>1.5265999999999999E-4</v>
      </c>
      <c r="D75" s="2">
        <v>1.529E-4</v>
      </c>
      <c r="E75" s="2">
        <v>1.5286999999999999E-4</v>
      </c>
      <c r="F75" s="5">
        <f t="shared" si="5"/>
        <v>-4.5832514895582932E-2</v>
      </c>
      <c r="G75" s="5">
        <f t="shared" si="6"/>
        <v>0.11130753617494271</v>
      </c>
      <c r="H75" s="5">
        <f t="shared" si="7"/>
        <v>9.1665029791121455E-2</v>
      </c>
    </row>
    <row r="76" spans="1:8" x14ac:dyDescent="0.3">
      <c r="A76" s="1">
        <v>74.5</v>
      </c>
      <c r="B76" s="2">
        <v>1.3022000000000001E-4</v>
      </c>
      <c r="C76" s="2">
        <v>1.3008E-4</v>
      </c>
      <c r="D76" s="2">
        <v>1.3035999999999999E-4</v>
      </c>
      <c r="E76" s="2">
        <v>1.3032000000000001E-4</v>
      </c>
      <c r="F76" s="5">
        <f t="shared" si="5"/>
        <v>-0.1075103670711175</v>
      </c>
      <c r="G76" s="5">
        <f t="shared" si="6"/>
        <v>0.10751036707110639</v>
      </c>
      <c r="H76" s="5">
        <f t="shared" si="7"/>
        <v>7.6793119336504567E-2</v>
      </c>
    </row>
    <row r="77" spans="1:8" x14ac:dyDescent="0.3">
      <c r="A77" s="1">
        <v>75.5</v>
      </c>
      <c r="B77" s="2">
        <v>1.109E-4</v>
      </c>
      <c r="C77" s="2">
        <v>1.1084E-4</v>
      </c>
      <c r="D77" s="2">
        <v>1.1102E-4</v>
      </c>
      <c r="E77" s="2">
        <v>1.11E-4</v>
      </c>
      <c r="F77" s="5">
        <f t="shared" si="5"/>
        <v>-5.4102795311083973E-2</v>
      </c>
      <c r="G77" s="5">
        <f t="shared" si="6"/>
        <v>0.10820559062219015</v>
      </c>
      <c r="H77" s="5">
        <f t="shared" si="7"/>
        <v>9.0171325518495493E-2</v>
      </c>
    </row>
    <row r="78" spans="1:8" x14ac:dyDescent="0.3">
      <c r="A78" s="1">
        <v>76.5</v>
      </c>
      <c r="B78" s="2">
        <v>9.4367E-5</v>
      </c>
      <c r="C78" s="2">
        <v>9.4265000000000006E-5</v>
      </c>
      <c r="D78" s="2">
        <v>9.4469999999999995E-5</v>
      </c>
      <c r="E78" s="2">
        <v>9.4442000000000001E-5</v>
      </c>
      <c r="F78" s="5">
        <f t="shared" si="5"/>
        <v>-0.10808863267879332</v>
      </c>
      <c r="G78" s="5">
        <f t="shared" si="6"/>
        <v>0.10914832515602768</v>
      </c>
      <c r="H78" s="5">
        <f t="shared" si="7"/>
        <v>7.9476935793243442E-2</v>
      </c>
    </row>
    <row r="79" spans="1:8" x14ac:dyDescent="0.3">
      <c r="A79" s="1">
        <v>77.5</v>
      </c>
      <c r="B79" s="2">
        <v>8.0241999999999995E-5</v>
      </c>
      <c r="C79" s="2">
        <v>8.0198999999999996E-5</v>
      </c>
      <c r="D79" s="2">
        <v>8.0329999999999998E-5</v>
      </c>
      <c r="E79" s="2">
        <v>8.0316999999999997E-5</v>
      </c>
      <c r="F79" s="5">
        <f t="shared" si="5"/>
        <v>-5.3587896612750097E-2</v>
      </c>
      <c r="G79" s="5">
        <f t="shared" si="6"/>
        <v>0.10966825353306842</v>
      </c>
      <c r="H79" s="5">
        <f t="shared" si="7"/>
        <v>9.3467261533852763E-2</v>
      </c>
    </row>
    <row r="80" spans="1:8" x14ac:dyDescent="0.3">
      <c r="A80" s="1">
        <v>78.5</v>
      </c>
      <c r="B80" s="2">
        <v>6.8193000000000003E-5</v>
      </c>
      <c r="C80" s="2">
        <v>6.8115999999999996E-5</v>
      </c>
      <c r="D80" s="2">
        <v>6.8267000000000002E-5</v>
      </c>
      <c r="E80" s="2">
        <v>6.8246999999999999E-5</v>
      </c>
      <c r="F80" s="5">
        <f t="shared" si="5"/>
        <v>-0.11291481530363301</v>
      </c>
      <c r="G80" s="5">
        <f t="shared" si="6"/>
        <v>0.10851553678530301</v>
      </c>
      <c r="H80" s="5">
        <f t="shared" si="7"/>
        <v>7.918701332980671E-2</v>
      </c>
    </row>
    <row r="81" spans="1:8" x14ac:dyDescent="0.3">
      <c r="A81" s="1">
        <v>79.5</v>
      </c>
      <c r="B81" s="2">
        <v>5.7926000000000001E-5</v>
      </c>
      <c r="C81" s="2">
        <v>5.7896000000000003E-5</v>
      </c>
      <c r="D81" s="2">
        <v>5.7989999999999999E-5</v>
      </c>
      <c r="E81" s="2">
        <v>5.7980999999999999E-5</v>
      </c>
      <c r="F81" s="5">
        <f t="shared" si="5"/>
        <v>-5.1790215102021087E-2</v>
      </c>
      <c r="G81" s="5">
        <f t="shared" si="6"/>
        <v>0.11048579221766275</v>
      </c>
      <c r="H81" s="5">
        <f t="shared" si="7"/>
        <v>9.4948727687049761E-2</v>
      </c>
    </row>
    <row r="82" spans="1:8" x14ac:dyDescent="0.3">
      <c r="A82" s="1" t="s">
        <v>2</v>
      </c>
      <c r="F82" s="3" cm="1">
        <f t="array" ref="F82">MAX(ABS(F2:F81))</f>
        <v>1.1938754862063528</v>
      </c>
      <c r="G82" s="3" cm="1">
        <f t="array" ref="G82">MAX(ABS(G2:G81))</f>
        <v>0.11972289380697276</v>
      </c>
      <c r="H82" s="3" cm="1">
        <f t="array" ref="H82">MAX(ABS(H2:H81))</f>
        <v>0.1004890466939079</v>
      </c>
    </row>
    <row r="83" spans="1:8" x14ac:dyDescent="0.3">
      <c r="A83" s="1" t="s">
        <v>3</v>
      </c>
      <c r="F83" s="3" cm="1">
        <f t="array" ref="F83">AVERAGE(ABS(F2:F81))</f>
        <v>0.29891543948541899</v>
      </c>
      <c r="G83" s="3" cm="1">
        <f t="array" ref="G83">AVERAGE(ABS(G2:G81))</f>
        <v>0.10308242609180589</v>
      </c>
      <c r="H83" s="3" cm="1">
        <f t="array" ref="H83">AVERAGE(ABS(H2:H81))</f>
        <v>7.7212141260830369E-2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Korkin, Sergey V. (GSFC-613.0)[UNIVERSITY OF MARYLAND </cp:lastModifiedBy>
  <dcterms:created xsi:type="dcterms:W3CDTF">2026-01-15T16:11:45Z</dcterms:created>
  <dcterms:modified xsi:type="dcterms:W3CDTF">2026-01-19T15:16:51Z</dcterms:modified>
</cp:coreProperties>
</file>