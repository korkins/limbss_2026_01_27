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_conf_pubs_works\2026\01_limb_rtm\src_python\tests\"/>
    </mc:Choice>
  </mc:AlternateContent>
  <xr:revisionPtr revIDLastSave="0" documentId="13_ncr:1_{ACCB9227-B981-4D86-BE5A-3CC88CBC3A6D}" xr6:coauthVersionLast="47" xr6:coauthVersionMax="47" xr10:uidLastSave="{00000000-0000-0000-0000-000000000000}"/>
  <bookViews>
    <workbookView xWindow="-28898" yWindow="-4395" windowWidth="28996" windowHeight="15675" xr2:uid="{8B828620-8A12-4B21-88D4-44FABB81912A}"/>
  </bookViews>
  <sheets>
    <sheet name="I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2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H82" i="1" l="1" a="1"/>
  <c r="H82" i="1" s="1"/>
  <c r="H83" i="1" a="1"/>
  <c r="H83" i="1" s="1"/>
  <c r="F82" i="1" a="1"/>
  <c r="F82" i="1" s="1"/>
  <c r="F83" i="1" a="1"/>
  <c r="F83" i="1" s="1"/>
  <c r="G82" i="1" a="1"/>
  <c r="G82" i="1" s="1"/>
  <c r="G83" i="1" a="1"/>
  <c r="G8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<sst xmlns="http://schemas.openxmlformats.org/spreadsheetml/2006/main" count="10" uniqueCount="10">
  <si>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hkm_tp</t>
  </si>
  <si>
    <t>DZ</t>
  </si>
  <si>
    <t>MAX</t>
  </si>
  <si>
    <t>AVR</t>
  </si>
  <si>
    <t>SK(0pnts)</t>
  </si>
  <si>
    <t>SK(1pnt)</t>
  </si>
  <si>
    <t>Rerr_1pnt</t>
  </si>
  <si>
    <t>Rerr_0pnt</t>
  </si>
  <si>
    <t>SK(2pnts)</t>
  </si>
  <si>
    <t>Rerr_2pnt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</si>
</sst>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Limb Single Scattering: (SK/DZ - 1)*100%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Iss!$G$2:$G$81</c:f>
              <c:numCache>
                <c:formatCode>0.00</c:formatCode>
                <c:ptCount val="80"/>
                <c:pt idx="0">
                  <c:v>5.6096980651942907E-2</c:v>
                </c:pt>
                <c:pt idx="1">
                  <c:v>5.630427806391225E-2</c:v>
                </c:pt>
                <c:pt idx="2">
                  <c:v>5.7848109947200577E-2</c:v>
                </c:pt>
                <c:pt idx="3">
                  <c:v>5.8665591998274813E-2</c:v>
                </c:pt>
                <c:pt idx="4">
                  <c:v>5.9562618168618187E-2</c:v>
                </c:pt>
                <c:pt idx="5">
                  <c:v>6.2786059276254136E-2</c:v>
                </c:pt>
                <c:pt idx="6">
                  <c:v>6.7459883197362736E-2</c:v>
                </c:pt>
                <c:pt idx="7">
                  <c:v>7.2569634129937555E-2</c:v>
                </c:pt>
                <c:pt idx="8">
                  <c:v>8.1348714480666828E-2</c:v>
                </c:pt>
                <c:pt idx="9">
                  <c:v>9.2326819991339626E-2</c:v>
                </c:pt>
                <c:pt idx="10">
                  <c:v>0.10383090752932311</c:v>
                </c:pt>
                <c:pt idx="11">
                  <c:v>0.11417942410436588</c:v>
                </c:pt>
                <c:pt idx="12">
                  <c:v>0.11828809078973102</c:v>
                </c:pt>
                <c:pt idx="13">
                  <c:v>0.11340442623009039</c:v>
                </c:pt>
                <c:pt idx="14">
                  <c:v>9.8920543207547951E-2</c:v>
                </c:pt>
                <c:pt idx="15">
                  <c:v>8.2223685630200549E-2</c:v>
                </c:pt>
                <c:pt idx="16">
                  <c:v>7.30969702635198E-2</c:v>
                </c:pt>
                <c:pt idx="17">
                  <c:v>7.3275380862147799E-2</c:v>
                </c:pt>
                <c:pt idx="18">
                  <c:v>8.0288587889421059E-2</c:v>
                </c:pt>
                <c:pt idx="19">
                  <c:v>9.0619926151536134E-2</c:v>
                </c:pt>
                <c:pt idx="20">
                  <c:v>9.6275161265046982E-2</c:v>
                </c:pt>
                <c:pt idx="21">
                  <c:v>0.10084669860250806</c:v>
                </c:pt>
                <c:pt idx="22">
                  <c:v>0.10418819442696847</c:v>
                </c:pt>
                <c:pt idx="23">
                  <c:v>0.10797222853842214</c:v>
                </c:pt>
                <c:pt idx="24">
                  <c:v>0.10882815893580311</c:v>
                </c:pt>
                <c:pt idx="25">
                  <c:v>0.10903424273334128</c:v>
                </c:pt>
                <c:pt idx="26">
                  <c:v>0.10996226370181272</c:v>
                </c:pt>
                <c:pt idx="27">
                  <c:v>0.11048829722781761</c:v>
                </c:pt>
                <c:pt idx="28">
                  <c:v>0.11023597144745878</c:v>
                </c:pt>
                <c:pt idx="29">
                  <c:v>0.10990108901987039</c:v>
                </c:pt>
                <c:pt idx="30">
                  <c:v>0.11025167128329016</c:v>
                </c:pt>
                <c:pt idx="31">
                  <c:v>0.1088440773957311</c:v>
                </c:pt>
                <c:pt idx="32">
                  <c:v>0.11112680897364946</c:v>
                </c:pt>
                <c:pt idx="33">
                  <c:v>0.10884605092624788</c:v>
                </c:pt>
                <c:pt idx="34">
                  <c:v>0.10876705542812726</c:v>
                </c:pt>
                <c:pt idx="35">
                  <c:v>0.11216366141204581</c:v>
                </c:pt>
                <c:pt idx="36">
                  <c:v>0.1123562140858736</c:v>
                </c:pt>
                <c:pt idx="37">
                  <c:v>0.11159159666758178</c:v>
                </c:pt>
                <c:pt idx="38">
                  <c:v>0.10747653606317797</c:v>
                </c:pt>
                <c:pt idx="39">
                  <c:v>0.10867006704753379</c:v>
                </c:pt>
                <c:pt idx="40">
                  <c:v>0.10856584889038512</c:v>
                </c:pt>
                <c:pt idx="41">
                  <c:v>0.10936566113950441</c:v>
                </c:pt>
                <c:pt idx="42">
                  <c:v>0.1094690191899117</c:v>
                </c:pt>
                <c:pt idx="43">
                  <c:v>0.10820640396245196</c:v>
                </c:pt>
                <c:pt idx="44">
                  <c:v>0.10953692576771701</c:v>
                </c:pt>
                <c:pt idx="45">
                  <c:v>0.10844539497374406</c:v>
                </c:pt>
                <c:pt idx="46">
                  <c:v>0.10863052861096456</c:v>
                </c:pt>
                <c:pt idx="47">
                  <c:v>0.10919790124355178</c:v>
                </c:pt>
                <c:pt idx="48">
                  <c:v>0.11024402925077226</c:v>
                </c:pt>
                <c:pt idx="49">
                  <c:v>0.10895636218004601</c:v>
                </c:pt>
                <c:pt idx="50">
                  <c:v>0.10712796536742619</c:v>
                </c:pt>
                <c:pt idx="51">
                  <c:v>0.1073147657104645</c:v>
                </c:pt>
                <c:pt idx="52">
                  <c:v>0.10876529770067478</c:v>
                </c:pt>
                <c:pt idx="53">
                  <c:v>0.11032029054844905</c:v>
                </c:pt>
                <c:pt idx="54">
                  <c:v>0.10945217608127056</c:v>
                </c:pt>
                <c:pt idx="55">
                  <c:v>0.10725277675622813</c:v>
                </c:pt>
                <c:pt idx="56">
                  <c:v>0.10812880220654186</c:v>
                </c:pt>
                <c:pt idx="57">
                  <c:v>0.10565264028548071</c:v>
                </c:pt>
                <c:pt idx="58">
                  <c:v>0.10954486260219554</c:v>
                </c:pt>
                <c:pt idx="59">
                  <c:v>0.10904762378129984</c:v>
                </c:pt>
                <c:pt idx="60">
                  <c:v>0.10910101527006333</c:v>
                </c:pt>
                <c:pt idx="61">
                  <c:v>0.10892478509931802</c:v>
                </c:pt>
                <c:pt idx="62">
                  <c:v>0.10933237126806716</c:v>
                </c:pt>
                <c:pt idx="63">
                  <c:v>0.10871615034870885</c:v>
                </c:pt>
                <c:pt idx="64">
                  <c:v>0.10844628783759358</c:v>
                </c:pt>
                <c:pt idx="65">
                  <c:v>0.10973466746901916</c:v>
                </c:pt>
                <c:pt idx="66">
                  <c:v>0.10896008471059648</c:v>
                </c:pt>
                <c:pt idx="67">
                  <c:v>0.10933502209529156</c:v>
                </c:pt>
                <c:pt idx="68">
                  <c:v>0.10984510506035772</c:v>
                </c:pt>
                <c:pt idx="69">
                  <c:v>0.10786776680822285</c:v>
                </c:pt>
                <c:pt idx="70">
                  <c:v>0.11116161146005332</c:v>
                </c:pt>
                <c:pt idx="71">
                  <c:v>0.11161870131066731</c:v>
                </c:pt>
                <c:pt idx="72">
                  <c:v>0.11194172150963411</c:v>
                </c:pt>
                <c:pt idx="73">
                  <c:v>0.1049402506302366</c:v>
                </c:pt>
                <c:pt idx="74">
                  <c:v>0.10934787140493007</c:v>
                </c:pt>
                <c:pt idx="75">
                  <c:v>0.10897092624804205</c:v>
                </c:pt>
                <c:pt idx="76">
                  <c:v>0.10970343778078373</c:v>
                </c:pt>
                <c:pt idx="77">
                  <c:v>0.10887379809496611</c:v>
                </c:pt>
                <c:pt idx="78">
                  <c:v>0.10943430429957157</c:v>
                </c:pt>
                <c:pt idx="79">
                  <c:v>0.1097523458640115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95-4407-9748-092E351DD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301711"/>
        <c:axId val="1786305551"/>
      </c:scatterChart>
      <c:valAx>
        <c:axId val="178630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Relative Error,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5551"/>
        <c:crosses val="autoZero"/>
        <c:crossBetween val="midCat"/>
      </c:valAx>
      <c:valAx>
        <c:axId val="17863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Tangent Height,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Limb Single Scattering: (SK/DZ - 1)*100%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0 extra points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Iss!$F$2:$F$81</c:f>
              <c:numCache>
                <c:formatCode>0.00</c:formatCode>
                <c:ptCount val="80"/>
                <c:pt idx="0">
                  <c:v>0.8517031966288835</c:v>
                </c:pt>
                <c:pt idx="1">
                  <c:v>0.86043758303835371</c:v>
                </c:pt>
                <c:pt idx="2">
                  <c:v>0.87040532441160501</c:v>
                </c:pt>
                <c:pt idx="3">
                  <c:v>0.87507649205040838</c:v>
                </c:pt>
                <c:pt idx="4">
                  <c:v>0.88715078893772947</c:v>
                </c:pt>
                <c:pt idx="5">
                  <c:v>0.8910591616249075</c:v>
                </c:pt>
                <c:pt idx="6">
                  <c:v>0.90075314962732023</c:v>
                </c:pt>
                <c:pt idx="7">
                  <c:v>0.91517146506108205</c:v>
                </c:pt>
                <c:pt idx="8">
                  <c:v>0.91257454094562096</c:v>
                </c:pt>
                <c:pt idx="9">
                  <c:v>0.96035675153387512</c:v>
                </c:pt>
                <c:pt idx="10">
                  <c:v>0.93401210112888933</c:v>
                </c:pt>
                <c:pt idx="11">
                  <c:v>1.048862900946923</c:v>
                </c:pt>
                <c:pt idx="12">
                  <c:v>1.0105099980912025</c:v>
                </c:pt>
                <c:pt idx="13">
                  <c:v>1.1535212420089813</c:v>
                </c:pt>
                <c:pt idx="14">
                  <c:v>1.1610389699862722</c:v>
                </c:pt>
                <c:pt idx="15">
                  <c:v>1.1740557798843421</c:v>
                </c:pt>
                <c:pt idx="16">
                  <c:v>1.2237238975636222</c:v>
                </c:pt>
                <c:pt idx="17">
                  <c:v>1.0449301476241679</c:v>
                </c:pt>
                <c:pt idx="18">
                  <c:v>1.0358297581252174</c:v>
                </c:pt>
                <c:pt idx="19">
                  <c:v>0.82128350981971465</c:v>
                </c:pt>
                <c:pt idx="20">
                  <c:v>0.73790827303616968</c:v>
                </c:pt>
                <c:pt idx="21">
                  <c:v>0.59129133288751135</c:v>
                </c:pt>
                <c:pt idx="22">
                  <c:v>0.49220166901693396</c:v>
                </c:pt>
                <c:pt idx="23">
                  <c:v>0.41487003575357839</c:v>
                </c:pt>
                <c:pt idx="24">
                  <c:v>0.31620885665042398</c:v>
                </c:pt>
                <c:pt idx="25">
                  <c:v>0.28685139174249308</c:v>
                </c:pt>
                <c:pt idx="26">
                  <c:v>0.19592194067856727</c:v>
                </c:pt>
                <c:pt idx="27">
                  <c:v>0.19527431790251626</c:v>
                </c:pt>
                <c:pt idx="28">
                  <c:v>0.11559633961897298</c:v>
                </c:pt>
                <c:pt idx="29">
                  <c:v>0.13077782234793833</c:v>
                </c:pt>
                <c:pt idx="30">
                  <c:v>5.6893330674312459E-2</c:v>
                </c:pt>
                <c:pt idx="31">
                  <c:v>8.6378839543166386E-2</c:v>
                </c:pt>
                <c:pt idx="32">
                  <c:v>1.8345412487108526E-2</c:v>
                </c:pt>
                <c:pt idx="33">
                  <c:v>5.6470435869870883E-2</c:v>
                </c:pt>
                <c:pt idx="34">
                  <c:v>-4.3076061555624712E-3</c:v>
                </c:pt>
                <c:pt idx="35">
                  <c:v>3.2917596283987827E-2</c:v>
                </c:pt>
                <c:pt idx="36">
                  <c:v>-1.8852640716326974E-2</c:v>
                </c:pt>
                <c:pt idx="37">
                  <c:v>2.5511122379828777E-2</c:v>
                </c:pt>
                <c:pt idx="38">
                  <c:v>-2.5538978866501694E-2</c:v>
                </c:pt>
                <c:pt idx="39">
                  <c:v>1.6244753482097529E-2</c:v>
                </c:pt>
                <c:pt idx="40">
                  <c:v>-2.7952037171097288E-2</c:v>
                </c:pt>
                <c:pt idx="41">
                  <c:v>1.4085946937436589E-2</c:v>
                </c:pt>
                <c:pt idx="42">
                  <c:v>-2.7421865522758715E-2</c:v>
                </c:pt>
                <c:pt idx="43">
                  <c:v>1.2739847378617775E-2</c:v>
                </c:pt>
                <c:pt idx="44">
                  <c:v>-2.4316751341513232E-2</c:v>
                </c:pt>
                <c:pt idx="45">
                  <c:v>1.4017322724924064E-2</c:v>
                </c:pt>
                <c:pt idx="46">
                  <c:v>-1.9197942624427089E-2</c:v>
                </c:pt>
                <c:pt idx="47">
                  <c:v>1.5775106241733283E-2</c:v>
                </c:pt>
                <c:pt idx="48">
                  <c:v>-1.612740165896076E-2</c:v>
                </c:pt>
                <c:pt idx="49">
                  <c:v>1.7396393961521817E-2</c:v>
                </c:pt>
                <c:pt idx="50">
                  <c:v>-1.1351054482400258E-2</c:v>
                </c:pt>
                <c:pt idx="51">
                  <c:v>1.6844670169735565E-2</c:v>
                </c:pt>
                <c:pt idx="52">
                  <c:v>-1.2678759580120325E-2</c:v>
                </c:pt>
                <c:pt idx="53">
                  <c:v>1.7153626896004859E-2</c:v>
                </c:pt>
                <c:pt idx="54">
                  <c:v>-8.1052770303235988E-3</c:v>
                </c:pt>
                <c:pt idx="55">
                  <c:v>1.6360593064512763E-2</c:v>
                </c:pt>
                <c:pt idx="56">
                  <c:v>-1.0520212650677596E-2</c:v>
                </c:pt>
                <c:pt idx="57">
                  <c:v>1.6040562011121473E-2</c:v>
                </c:pt>
                <c:pt idx="58">
                  <c:v>-1.4510398118761092E-2</c:v>
                </c:pt>
                <c:pt idx="59">
                  <c:v>9.6402075719259628E-3</c:v>
                </c:pt>
                <c:pt idx="60">
                  <c:v>-2.123566280085587E-2</c:v>
                </c:pt>
                <c:pt idx="61">
                  <c:v>3.7415190357048544E-3</c:v>
                </c:pt>
                <c:pt idx="62">
                  <c:v>-2.9889796201088004E-2</c:v>
                </c:pt>
                <c:pt idx="63">
                  <c:v>-3.6061365803474743E-3</c:v>
                </c:pt>
                <c:pt idx="64">
                  <c:v>-4.1009861614926812E-2</c:v>
                </c:pt>
                <c:pt idx="65">
                  <c:v>-1.2859327564118672E-2</c:v>
                </c:pt>
                <c:pt idx="66">
                  <c:v>-5.0655296429857888E-2</c:v>
                </c:pt>
                <c:pt idx="67">
                  <c:v>-1.9622447382738883E-2</c:v>
                </c:pt>
                <c:pt idx="68">
                  <c:v>-6.3998822712740822E-2</c:v>
                </c:pt>
                <c:pt idx="69">
                  <c:v>-2.8435729376463659E-2</c:v>
                </c:pt>
                <c:pt idx="70">
                  <c:v>-8.0496339333135936E-2</c:v>
                </c:pt>
                <c:pt idx="71">
                  <c:v>-4.1809066813958129E-2</c:v>
                </c:pt>
                <c:pt idx="72">
                  <c:v>-8.9957175000743295E-2</c:v>
                </c:pt>
                <c:pt idx="73">
                  <c:v>-4.3973293669774538E-2</c:v>
                </c:pt>
                <c:pt idx="74">
                  <c:v>-0.10127238264009408</c:v>
                </c:pt>
                <c:pt idx="75">
                  <c:v>-5.1475583117510659E-2</c:v>
                </c:pt>
                <c:pt idx="76">
                  <c:v>-0.10862596798610902</c:v>
                </c:pt>
                <c:pt idx="77">
                  <c:v>-5.2852977023132297E-2</c:v>
                </c:pt>
                <c:pt idx="78">
                  <c:v>-0.11225942796738719</c:v>
                </c:pt>
                <c:pt idx="79">
                  <c:v>-5.1919880787520967E-2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1F-4E25-93D0-23AE8406943F}"/>
            </c:ext>
          </c:extLst>
        </c:ser>
        <c:ser>
          <c:idx val="0"/>
          <c:order val="1"/>
          <c:tx>
            <c:v>1 extra point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Iss!$G$2:$G$81</c:f>
              <c:numCache>
                <c:formatCode>0.00</c:formatCode>
                <c:ptCount val="80"/>
                <c:pt idx="0">
                  <c:v>5.6096980651942907E-2</c:v>
                </c:pt>
                <c:pt idx="1">
                  <c:v>5.630427806391225E-2</c:v>
                </c:pt>
                <c:pt idx="2">
                  <c:v>5.7848109947200577E-2</c:v>
                </c:pt>
                <c:pt idx="3">
                  <c:v>5.8665591998274813E-2</c:v>
                </c:pt>
                <c:pt idx="4">
                  <c:v>5.9562618168618187E-2</c:v>
                </c:pt>
                <c:pt idx="5">
                  <c:v>6.2786059276254136E-2</c:v>
                </c:pt>
                <c:pt idx="6">
                  <c:v>6.7459883197362736E-2</c:v>
                </c:pt>
                <c:pt idx="7">
                  <c:v>7.2569634129937555E-2</c:v>
                </c:pt>
                <c:pt idx="8">
                  <c:v>8.1348714480666828E-2</c:v>
                </c:pt>
                <c:pt idx="9">
                  <c:v>9.2326819991339626E-2</c:v>
                </c:pt>
                <c:pt idx="10">
                  <c:v>0.10383090752932311</c:v>
                </c:pt>
                <c:pt idx="11">
                  <c:v>0.11417942410436588</c:v>
                </c:pt>
                <c:pt idx="12">
                  <c:v>0.11828809078973102</c:v>
                </c:pt>
                <c:pt idx="13">
                  <c:v>0.11340442623009039</c:v>
                </c:pt>
                <c:pt idx="14">
                  <c:v>9.8920543207547951E-2</c:v>
                </c:pt>
                <c:pt idx="15">
                  <c:v>8.2223685630200549E-2</c:v>
                </c:pt>
                <c:pt idx="16">
                  <c:v>7.30969702635198E-2</c:v>
                </c:pt>
                <c:pt idx="17">
                  <c:v>7.3275380862147799E-2</c:v>
                </c:pt>
                <c:pt idx="18">
                  <c:v>8.0288587889421059E-2</c:v>
                </c:pt>
                <c:pt idx="19">
                  <c:v>9.0619926151536134E-2</c:v>
                </c:pt>
                <c:pt idx="20">
                  <c:v>9.6275161265046982E-2</c:v>
                </c:pt>
                <c:pt idx="21">
                  <c:v>0.10084669860250806</c:v>
                </c:pt>
                <c:pt idx="22">
                  <c:v>0.10418819442696847</c:v>
                </c:pt>
                <c:pt idx="23">
                  <c:v>0.10797222853842214</c:v>
                </c:pt>
                <c:pt idx="24">
                  <c:v>0.10882815893580311</c:v>
                </c:pt>
                <c:pt idx="25">
                  <c:v>0.10903424273334128</c:v>
                </c:pt>
                <c:pt idx="26">
                  <c:v>0.10996226370181272</c:v>
                </c:pt>
                <c:pt idx="27">
                  <c:v>0.11048829722781761</c:v>
                </c:pt>
                <c:pt idx="28">
                  <c:v>0.11023597144745878</c:v>
                </c:pt>
                <c:pt idx="29">
                  <c:v>0.10990108901987039</c:v>
                </c:pt>
                <c:pt idx="30">
                  <c:v>0.11025167128329016</c:v>
                </c:pt>
                <c:pt idx="31">
                  <c:v>0.1088440773957311</c:v>
                </c:pt>
                <c:pt idx="32">
                  <c:v>0.11112680897364946</c:v>
                </c:pt>
                <c:pt idx="33">
                  <c:v>0.10884605092624788</c:v>
                </c:pt>
                <c:pt idx="34">
                  <c:v>0.10876705542812726</c:v>
                </c:pt>
                <c:pt idx="35">
                  <c:v>0.11216366141204581</c:v>
                </c:pt>
                <c:pt idx="36">
                  <c:v>0.1123562140858736</c:v>
                </c:pt>
                <c:pt idx="37">
                  <c:v>0.11159159666758178</c:v>
                </c:pt>
                <c:pt idx="38">
                  <c:v>0.10747653606317797</c:v>
                </c:pt>
                <c:pt idx="39">
                  <c:v>0.10867006704753379</c:v>
                </c:pt>
                <c:pt idx="40">
                  <c:v>0.10856584889038512</c:v>
                </c:pt>
                <c:pt idx="41">
                  <c:v>0.10936566113950441</c:v>
                </c:pt>
                <c:pt idx="42">
                  <c:v>0.1094690191899117</c:v>
                </c:pt>
                <c:pt idx="43">
                  <c:v>0.10820640396245196</c:v>
                </c:pt>
                <c:pt idx="44">
                  <c:v>0.10953692576771701</c:v>
                </c:pt>
                <c:pt idx="45">
                  <c:v>0.10844539497374406</c:v>
                </c:pt>
                <c:pt idx="46">
                  <c:v>0.10863052861096456</c:v>
                </c:pt>
                <c:pt idx="47">
                  <c:v>0.10919790124355178</c:v>
                </c:pt>
                <c:pt idx="48">
                  <c:v>0.11024402925077226</c:v>
                </c:pt>
                <c:pt idx="49">
                  <c:v>0.10895636218004601</c:v>
                </c:pt>
                <c:pt idx="50">
                  <c:v>0.10712796536742619</c:v>
                </c:pt>
                <c:pt idx="51">
                  <c:v>0.1073147657104645</c:v>
                </c:pt>
                <c:pt idx="52">
                  <c:v>0.10876529770067478</c:v>
                </c:pt>
                <c:pt idx="53">
                  <c:v>0.11032029054844905</c:v>
                </c:pt>
                <c:pt idx="54">
                  <c:v>0.10945217608127056</c:v>
                </c:pt>
                <c:pt idx="55">
                  <c:v>0.10725277675622813</c:v>
                </c:pt>
                <c:pt idx="56">
                  <c:v>0.10812880220654186</c:v>
                </c:pt>
                <c:pt idx="57">
                  <c:v>0.10565264028548071</c:v>
                </c:pt>
                <c:pt idx="58">
                  <c:v>0.10954486260219554</c:v>
                </c:pt>
                <c:pt idx="59">
                  <c:v>0.10904762378129984</c:v>
                </c:pt>
                <c:pt idx="60">
                  <c:v>0.10910101527006333</c:v>
                </c:pt>
                <c:pt idx="61">
                  <c:v>0.10892478509931802</c:v>
                </c:pt>
                <c:pt idx="62">
                  <c:v>0.10933237126806716</c:v>
                </c:pt>
                <c:pt idx="63">
                  <c:v>0.10871615034870885</c:v>
                </c:pt>
                <c:pt idx="64">
                  <c:v>0.10844628783759358</c:v>
                </c:pt>
                <c:pt idx="65">
                  <c:v>0.10973466746901916</c:v>
                </c:pt>
                <c:pt idx="66">
                  <c:v>0.10896008471059648</c:v>
                </c:pt>
                <c:pt idx="67">
                  <c:v>0.10933502209529156</c:v>
                </c:pt>
                <c:pt idx="68">
                  <c:v>0.10984510506035772</c:v>
                </c:pt>
                <c:pt idx="69">
                  <c:v>0.10786776680822285</c:v>
                </c:pt>
                <c:pt idx="70">
                  <c:v>0.11116161146005332</c:v>
                </c:pt>
                <c:pt idx="71">
                  <c:v>0.11161870131066731</c:v>
                </c:pt>
                <c:pt idx="72">
                  <c:v>0.11194172150963411</c:v>
                </c:pt>
                <c:pt idx="73">
                  <c:v>0.1049402506302366</c:v>
                </c:pt>
                <c:pt idx="74">
                  <c:v>0.10934787140493007</c:v>
                </c:pt>
                <c:pt idx="75">
                  <c:v>0.10897092624804205</c:v>
                </c:pt>
                <c:pt idx="76">
                  <c:v>0.10970343778078373</c:v>
                </c:pt>
                <c:pt idx="77">
                  <c:v>0.10887379809496611</c:v>
                </c:pt>
                <c:pt idx="78">
                  <c:v>0.10943430429957157</c:v>
                </c:pt>
                <c:pt idx="79">
                  <c:v>0.1097523458640115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F-4E25-93D0-23AE8406943F}"/>
            </c:ext>
          </c:extLst>
        </c:ser>
        <c:ser>
          <c:idx val="2"/>
          <c:order val="2"/>
          <c:tx>
            <c:v>2 extra points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Iss!$H$2:$H$81</c:f>
              <c:numCache>
                <c:formatCode>0.00</c:formatCode>
                <c:ptCount val="80"/>
                <c:pt idx="0">
                  <c:v>3.661886237000811E-2</c:v>
                </c:pt>
                <c:pt idx="1">
                  <c:v>3.6873547646321114E-2</c:v>
                </c:pt>
                <c:pt idx="2">
                  <c:v>3.8466011253546206E-2</c:v>
                </c:pt>
                <c:pt idx="3">
                  <c:v>3.9333457752954715E-2</c:v>
                </c:pt>
                <c:pt idx="4">
                  <c:v>4.0281890175775104E-2</c:v>
                </c:pt>
                <c:pt idx="5">
                  <c:v>4.0600172606186646E-2</c:v>
                </c:pt>
                <c:pt idx="6">
                  <c:v>4.2387342437510966E-2</c:v>
                </c:pt>
                <c:pt idx="7">
                  <c:v>4.3159448059038041E-2</c:v>
                </c:pt>
                <c:pt idx="8">
                  <c:v>4.6164552513894286E-2</c:v>
                </c:pt>
                <c:pt idx="9">
                  <c:v>4.7025594607807975E-2</c:v>
                </c:pt>
                <c:pt idx="10">
                  <c:v>5.4311327560219169E-2</c:v>
                </c:pt>
                <c:pt idx="11">
                  <c:v>5.4673177907860193E-2</c:v>
                </c:pt>
                <c:pt idx="12">
                  <c:v>6.6229762324798713E-2</c:v>
                </c:pt>
                <c:pt idx="13">
                  <c:v>6.874567098196227E-2</c:v>
                </c:pt>
                <c:pt idx="14">
                  <c:v>7.5955820466377943E-2</c:v>
                </c:pt>
                <c:pt idx="15">
                  <c:v>8.0792713029609331E-2</c:v>
                </c:pt>
                <c:pt idx="16">
                  <c:v>6.8808919602769691E-2</c:v>
                </c:pt>
                <c:pt idx="17">
                  <c:v>7.6141619112179981E-2</c:v>
                </c:pt>
                <c:pt idx="18">
                  <c:v>5.1376600892871771E-2</c:v>
                </c:pt>
                <c:pt idx="19">
                  <c:v>6.4157261149455636E-2</c:v>
                </c:pt>
                <c:pt idx="20">
                  <c:v>4.1925062385628209E-2</c:v>
                </c:pt>
                <c:pt idx="21">
                  <c:v>5.8539972961302311E-2</c:v>
                </c:pt>
                <c:pt idx="22">
                  <c:v>4.1711448518411132E-2</c:v>
                </c:pt>
                <c:pt idx="23">
                  <c:v>5.9147577390561423E-2</c:v>
                </c:pt>
                <c:pt idx="24">
                  <c:v>4.5306143419621137E-2</c:v>
                </c:pt>
                <c:pt idx="25">
                  <c:v>6.4579955481058882E-2</c:v>
                </c:pt>
                <c:pt idx="26">
                  <c:v>5.2655812383961553E-2</c:v>
                </c:pt>
                <c:pt idx="27">
                  <c:v>6.9306515757228127E-2</c:v>
                </c:pt>
                <c:pt idx="28">
                  <c:v>5.9312473817940692E-2</c:v>
                </c:pt>
                <c:pt idx="29">
                  <c:v>7.4112403314630093E-2</c:v>
                </c:pt>
                <c:pt idx="30">
                  <c:v>6.3563123250442999E-2</c:v>
                </c:pt>
                <c:pt idx="31">
                  <c:v>7.8890426925637414E-2</c:v>
                </c:pt>
                <c:pt idx="32">
                  <c:v>6.8953446934316709E-2</c:v>
                </c:pt>
                <c:pt idx="33">
                  <c:v>8.5038953173355303E-2</c:v>
                </c:pt>
                <c:pt idx="34">
                  <c:v>7.107550156690845E-2</c:v>
                </c:pt>
                <c:pt idx="35">
                  <c:v>8.7780256757263864E-2</c:v>
                </c:pt>
                <c:pt idx="36">
                  <c:v>7.7827568085298005E-2</c:v>
                </c:pt>
                <c:pt idx="37">
                  <c:v>8.8115103680008744E-2</c:v>
                </c:pt>
                <c:pt idx="38">
                  <c:v>8.0873433077233159E-2</c:v>
                </c:pt>
                <c:pt idx="39">
                  <c:v>9.1591476497399071E-2</c:v>
                </c:pt>
                <c:pt idx="40">
                  <c:v>8.2399920728604137E-2</c:v>
                </c:pt>
                <c:pt idx="41">
                  <c:v>9.3914896674318626E-2</c:v>
                </c:pt>
                <c:pt idx="42">
                  <c:v>8.4712157061050952E-2</c:v>
                </c:pt>
                <c:pt idx="43">
                  <c:v>9.5038603054331539E-2</c:v>
                </c:pt>
                <c:pt idx="44">
                  <c:v>8.7227979582849002E-2</c:v>
                </c:pt>
                <c:pt idx="45">
                  <c:v>9.5854985340571019E-2</c:v>
                </c:pt>
                <c:pt idx="46">
                  <c:v>8.7325783405067803E-2</c:v>
                </c:pt>
                <c:pt idx="47">
                  <c:v>9.8521010386209973E-2</c:v>
                </c:pt>
                <c:pt idx="48">
                  <c:v>8.9182124099140836E-2</c:v>
                </c:pt>
                <c:pt idx="49">
                  <c:v>9.8783032377980362E-2</c:v>
                </c:pt>
                <c:pt idx="50">
                  <c:v>9.1840349902927443E-2</c:v>
                </c:pt>
                <c:pt idx="51">
                  <c:v>9.8698566135158039E-2</c:v>
                </c:pt>
                <c:pt idx="52">
                  <c:v>8.933424853574401E-2</c:v>
                </c:pt>
                <c:pt idx="53">
                  <c:v>9.9359506589347113E-2</c:v>
                </c:pt>
                <c:pt idx="54">
                  <c:v>9.0890472958382595E-2</c:v>
                </c:pt>
                <c:pt idx="55">
                  <c:v>0.10026107031839704</c:v>
                </c:pt>
                <c:pt idx="56">
                  <c:v>9.2308933558937767E-2</c:v>
                </c:pt>
                <c:pt idx="57">
                  <c:v>9.6691432458029247E-2</c:v>
                </c:pt>
                <c:pt idx="58">
                  <c:v>9.2258473813200403E-2</c:v>
                </c:pt>
                <c:pt idx="59">
                  <c:v>9.8644522084967434E-2</c:v>
                </c:pt>
                <c:pt idx="60">
                  <c:v>9.1986097947605039E-2</c:v>
                </c:pt>
                <c:pt idx="61">
                  <c:v>9.8406458492950044E-2</c:v>
                </c:pt>
                <c:pt idx="62">
                  <c:v>9.0425657167325646E-2</c:v>
                </c:pt>
                <c:pt idx="63">
                  <c:v>9.6892751724597659E-2</c:v>
                </c:pt>
                <c:pt idx="64">
                  <c:v>8.8065903821354929E-2</c:v>
                </c:pt>
                <c:pt idx="65">
                  <c:v>9.6692753103777562E-2</c:v>
                </c:pt>
                <c:pt idx="66">
                  <c:v>8.787880795617653E-2</c:v>
                </c:pt>
                <c:pt idx="67">
                  <c:v>9.5393674043608989E-2</c:v>
                </c:pt>
                <c:pt idx="68">
                  <c:v>8.5587812812959463E-2</c:v>
                </c:pt>
                <c:pt idx="69">
                  <c:v>9.3767405133937665E-2</c:v>
                </c:pt>
                <c:pt idx="70">
                  <c:v>8.3781904203883428E-2</c:v>
                </c:pt>
                <c:pt idx="71">
                  <c:v>9.2440230295087744E-2</c:v>
                </c:pt>
                <c:pt idx="72">
                  <c:v>8.2030773878472019E-2</c:v>
                </c:pt>
                <c:pt idx="73">
                  <c:v>9.6180630377307175E-2</c:v>
                </c:pt>
                <c:pt idx="74">
                  <c:v>8.0580226949988898E-2</c:v>
                </c:pt>
                <c:pt idx="75">
                  <c:v>9.3288184731110668E-2</c:v>
                </c:pt>
                <c:pt idx="76">
                  <c:v>7.9931246085318541E-2</c:v>
                </c:pt>
                <c:pt idx="77">
                  <c:v>9.3868221022153087E-2</c:v>
                </c:pt>
                <c:pt idx="78">
                  <c:v>7.8044041323699354E-2</c:v>
                </c:pt>
                <c:pt idx="79">
                  <c:v>9.3585123198836051E-2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1F-4E25-93D0-23AE84069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301711"/>
        <c:axId val="1786305551"/>
      </c:scatterChart>
      <c:valAx>
        <c:axId val="178630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Relative Error,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5551"/>
        <c:crosses val="autoZero"/>
        <c:crossBetween val="midCat"/>
      </c:valAx>
      <c:valAx>
        <c:axId val="17863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Tangent Height,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1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51290463692037"/>
          <c:y val="0.24858616092029498"/>
          <c:w val="0.26180621172353458"/>
          <c:h val="0.28496714144227453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Limb Single Scattering: SASKTRAN-HR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Iss!$B$2:$B$81</c:f>
              <c:numCache>
                <c:formatCode>0.0000E+00</c:formatCode>
                <c:ptCount val="80"/>
                <c:pt idx="0">
                  <c:v>6.6741560000000005E-2</c:v>
                </c:pt>
                <c:pt idx="1">
                  <c:v>6.6904329999999998E-2</c:v>
                </c:pt>
                <c:pt idx="2">
                  <c:v>6.7072199999999998E-2</c:v>
                </c:pt>
                <c:pt idx="3">
                  <c:v>6.7245550000000001E-2</c:v>
                </c:pt>
                <c:pt idx="4">
                  <c:v>6.742484E-2</c:v>
                </c:pt>
                <c:pt idx="5">
                  <c:v>6.7610550000000005E-2</c:v>
                </c:pt>
                <c:pt idx="6">
                  <c:v>6.7803260000000004E-2</c:v>
                </c:pt>
                <c:pt idx="7">
                  <c:v>6.8003649999999999E-2</c:v>
                </c:pt>
                <c:pt idx="8">
                  <c:v>6.8212510000000004E-2</c:v>
                </c:pt>
                <c:pt idx="9">
                  <c:v>6.8430820000000003E-2</c:v>
                </c:pt>
                <c:pt idx="10">
                  <c:v>6.8659709999999999E-2</c:v>
                </c:pt>
                <c:pt idx="11">
                  <c:v>6.8900329999999996E-2</c:v>
                </c:pt>
                <c:pt idx="12">
                  <c:v>6.9153199999999998E-2</c:v>
                </c:pt>
                <c:pt idx="13">
                  <c:v>6.9415279999999996E-2</c:v>
                </c:pt>
                <c:pt idx="14">
                  <c:v>6.9672079999999997E-2</c:v>
                </c:pt>
                <c:pt idx="15">
                  <c:v>6.9882540000000007E-2</c:v>
                </c:pt>
                <c:pt idx="16">
                  <c:v>6.9961860000000001E-2</c:v>
                </c:pt>
                <c:pt idx="17">
                  <c:v>6.9777870000000006E-2</c:v>
                </c:pt>
                <c:pt idx="18">
                  <c:v>6.9175459999999994E-2</c:v>
                </c:pt>
                <c:pt idx="19">
                  <c:v>6.8020360000000002E-2</c:v>
                </c:pt>
                <c:pt idx="20">
                  <c:v>6.6237229999999994E-2</c:v>
                </c:pt>
                <c:pt idx="21">
                  <c:v>6.3819639999999997E-2</c:v>
                </c:pt>
                <c:pt idx="22">
                  <c:v>6.0822630000000003E-2</c:v>
                </c:pt>
                <c:pt idx="23">
                  <c:v>5.7348080000000003E-2</c:v>
                </c:pt>
                <c:pt idx="24">
                  <c:v>5.3524750000000003E-2</c:v>
                </c:pt>
                <c:pt idx="25">
                  <c:v>4.9489039999999998E-2</c:v>
                </c:pt>
                <c:pt idx="26">
                  <c:v>4.5370109999999998E-2</c:v>
                </c:pt>
                <c:pt idx="27">
                  <c:v>4.128039E-2</c:v>
                </c:pt>
                <c:pt idx="28">
                  <c:v>3.7310870000000003E-2</c:v>
                </c:pt>
                <c:pt idx="29">
                  <c:v>3.3530150000000002E-2</c:v>
                </c:pt>
                <c:pt idx="30">
                  <c:v>2.9985939999999999E-2</c:v>
                </c:pt>
                <c:pt idx="31">
                  <c:v>2.6707930000000001E-2</c:v>
                </c:pt>
                <c:pt idx="32">
                  <c:v>2.3711650000000001E-2</c:v>
                </c:pt>
                <c:pt idx="33">
                  <c:v>2.1002139999999999E-2</c:v>
                </c:pt>
                <c:pt idx="34">
                  <c:v>1.8571799999999999E-2</c:v>
                </c:pt>
                <c:pt idx="35">
                  <c:v>1.6404599999999998E-2</c:v>
                </c:pt>
                <c:pt idx="36">
                  <c:v>1.4480730000000001E-2</c:v>
                </c:pt>
                <c:pt idx="37">
                  <c:v>1.277874E-2</c:v>
                </c:pt>
                <c:pt idx="38">
                  <c:v>1.127688E-2</c:v>
                </c:pt>
                <c:pt idx="39">
                  <c:v>9.9539829999999996E-3</c:v>
                </c:pt>
                <c:pt idx="40">
                  <c:v>8.7900570000000004E-3</c:v>
                </c:pt>
                <c:pt idx="41">
                  <c:v>7.7666059999999997E-3</c:v>
                </c:pt>
                <c:pt idx="42">
                  <c:v>6.8667829999999996E-3</c:v>
                </c:pt>
                <c:pt idx="43">
                  <c:v>6.0754260000000001E-3</c:v>
                </c:pt>
                <c:pt idx="44">
                  <c:v>5.3790080000000002E-3</c:v>
                </c:pt>
                <c:pt idx="45">
                  <c:v>4.7655320000000003E-3</c:v>
                </c:pt>
                <c:pt idx="46">
                  <c:v>4.224411E-3</c:v>
                </c:pt>
                <c:pt idx="47">
                  <c:v>3.746409E-3</c:v>
                </c:pt>
                <c:pt idx="48">
                  <c:v>3.3235360000000002E-3</c:v>
                </c:pt>
                <c:pt idx="49">
                  <c:v>2.9488869999999999E-3</c:v>
                </c:pt>
                <c:pt idx="50">
                  <c:v>2.6164970000000002E-3</c:v>
                </c:pt>
                <c:pt idx="51">
                  <c:v>2.3212089999999999E-3</c:v>
                </c:pt>
                <c:pt idx="52">
                  <c:v>2.058561E-3</c:v>
                </c:pt>
                <c:pt idx="53">
                  <c:v>1.824687E-3</c:v>
                </c:pt>
                <c:pt idx="54">
                  <c:v>1.6162310000000001E-3</c:v>
                </c:pt>
                <c:pt idx="55">
                  <c:v>1.4302659999999999E-3</c:v>
                </c:pt>
                <c:pt idx="56">
                  <c:v>1.264233E-3</c:v>
                </c:pt>
                <c:pt idx="57">
                  <c:v>1.115921E-3</c:v>
                </c:pt>
                <c:pt idx="58">
                  <c:v>9.8343270000000003E-4</c:v>
                </c:pt>
                <c:pt idx="59">
                  <c:v>8.6512660000000001E-4</c:v>
                </c:pt>
                <c:pt idx="60">
                  <c:v>7.595713E-4</c:v>
                </c:pt>
                <c:pt idx="61">
                  <c:v>6.6550509999999997E-4</c:v>
                </c:pt>
                <c:pt idx="62">
                  <c:v>5.8180389999999997E-4</c:v>
                </c:pt>
                <c:pt idx="63">
                  <c:v>5.0746829999999995E-4</c:v>
                </c:pt>
                <c:pt idx="64">
                  <c:v>4.416011E-4</c:v>
                </c:pt>
                <c:pt idx="65">
                  <c:v>3.8337929999999998E-4</c:v>
                </c:pt>
                <c:pt idx="66">
                  <c:v>3.320482E-4</c:v>
                </c:pt>
                <c:pt idx="67">
                  <c:v>2.8691630000000001E-4</c:v>
                </c:pt>
                <c:pt idx="68">
                  <c:v>2.4734829999999998E-4</c:v>
                </c:pt>
                <c:pt idx="69">
                  <c:v>2.127605E-4</c:v>
                </c:pt>
                <c:pt idx="70">
                  <c:v>1.8261699999999999E-4</c:v>
                </c:pt>
                <c:pt idx="71">
                  <c:v>1.5642539999999999E-4</c:v>
                </c:pt>
                <c:pt idx="72">
                  <c:v>1.337303E-4</c:v>
                </c:pt>
                <c:pt idx="73">
                  <c:v>1.1416020000000001E-4</c:v>
                </c:pt>
                <c:pt idx="74">
                  <c:v>9.7331570000000006E-5</c:v>
                </c:pt>
                <c:pt idx="75">
                  <c:v>8.289367E-5</c:v>
                </c:pt>
                <c:pt idx="76">
                  <c:v>7.0535620000000004E-5</c:v>
                </c:pt>
                <c:pt idx="77">
                  <c:v>5.99777E-5</c:v>
                </c:pt>
                <c:pt idx="78">
                  <c:v>5.0971219999999999E-5</c:v>
                </c:pt>
                <c:pt idx="79">
                  <c:v>4.3297480000000002E-5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3-4597-9333-B51E4356D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301711"/>
        <c:axId val="1786305551"/>
      </c:scatterChart>
      <c:valAx>
        <c:axId val="178630171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Signal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5551"/>
        <c:crosses val="autoZero"/>
        <c:crossBetween val="midCat"/>
      </c:valAx>
      <c:valAx>
        <c:axId val="17863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Tangent Height,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29053</xdr:colOff>
      <xdr:row>1</xdr:row>
      <xdr:rowOff>21907</xdr:rowOff>
    </xdr:from>
    <xdr:to>
      <xdr:col>16</xdr:col>
      <xdr:colOff>333853</xdr:colOff>
      <xdr:row>16</xdr:row>
      <xdr:rowOff>50482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48D19-2472-F1CA-8E8C-FE41FB682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84F14A-ED61-48E6-A626-02566D001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304800</xdr:colOff>
      <xdr:row>33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2D500E-B88E-45E4-BB2F-90546693F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7E76-2E3A-46B7-8284-E640DE7DB91A}">
  <dimension ref="A1:H83"/>
  <sheetViews>
    <sheetView tabSelected="1" workbookViewId="0">
      <selection activeCell="S26" sqref="S26"/>
    </sheetView>
  </sheetViews>
  <sheetFormatPr defaultRowHeight="14.4" x14ac:dyDescent="0.3"/>
  <cols>
    <col min="1" max="1" width="8.88671875" style="1"/>
    <col min="2" max="5" width="12.77734375" style="1" customWidth="1"/>
    <col min="6" max="8" width="10.33203125" style="1" bestFit="1" customWidth="1"/>
    <col min="9" max="16384" width="8.88671875" style="1"/>
  </cols>
  <sheetData>
    <row r="1" spans="1:8" x14ac:dyDescent="0.3">
      <c r="A1" s="4" t="s">
        <v>0</v>
      </c>
      <c r="B1" s="4" t="s">
        <v>1</v>
      </c>
      <c r="C1" s="4" t="s">
        <v>4</v>
      </c>
      <c r="D1" s="4" t="s">
        <v>5</v>
      </c>
      <c r="E1" s="4" t="s">
        <v>8</v>
      </c>
      <c r="F1" s="4" t="s">
        <v>7</v>
      </c>
      <c r="G1" s="4" t="s">
        <v>6</v>
      </c>
      <c r="H1" s="4" t="s">
        <v>9</v>
      </c>
    </row>
    <row r="2" spans="1:8" x14ac:dyDescent="0.3">
      <c r="A2" s="1">
        <v>0.5</v>
      </c>
      <c r="B2" s="2">
        <v>6.6741560000000005E-2</v>
      </c>
      <c r="C2" s="2">
        <v>6.7309999999999995E-2</v>
      </c>
      <c r="D2" s="2">
        <v>6.6779000000000005E-2</v>
      </c>
      <c r="E2" s="2">
        <v>6.6766000000000006E-2</v>
      </c>
      <c r="F2" s="5">
        <f t="shared" ref="F2:F33" si="0">100*(C2/B2-1)</f>
        <v>0.8517031966288835</v>
      </c>
      <c r="G2" s="5">
        <f t="shared" ref="G2:G33" si="1">100*(D2/B2-1)</f>
        <v>5.6096980651942907E-2</v>
      </c>
      <c r="H2" s="5">
        <f>100*(E2/B2-1)</f>
        <v>3.661886237000811E-2</v>
      </c>
    </row>
    <row r="3" spans="1:8" x14ac:dyDescent="0.3">
      <c r="A3" s="1">
        <v>1.5</v>
      </c>
      <c r="B3" s="2">
        <v>6.6904329999999998E-2</v>
      </c>
      <c r="C3" s="2">
        <v>6.7479999999999998E-2</v>
      </c>
      <c r="D3" s="2">
        <v>6.6942000000000002E-2</v>
      </c>
      <c r="E3" s="2">
        <v>6.6929000000000002E-2</v>
      </c>
      <c r="F3" s="5">
        <f t="shared" si="0"/>
        <v>0.86043758303835371</v>
      </c>
      <c r="G3" s="5">
        <f t="shared" si="1"/>
        <v>5.630427806391225E-2</v>
      </c>
      <c r="H3" s="5">
        <f t="shared" ref="H3:H66" si="2">100*(E3/B3-1)</f>
        <v>3.6873547646321114E-2</v>
      </c>
    </row>
    <row r="4" spans="1:8" x14ac:dyDescent="0.3">
      <c r="A4" s="1">
        <v>2.5</v>
      </c>
      <c r="B4" s="2">
        <v>6.7072199999999998E-2</v>
      </c>
      <c r="C4" s="2">
        <v>6.7655999999999994E-2</v>
      </c>
      <c r="D4" s="2">
        <v>6.7111000000000004E-2</v>
      </c>
      <c r="E4" s="2">
        <v>6.7098000000000005E-2</v>
      </c>
      <c r="F4" s="5">
        <f t="shared" si="0"/>
        <v>0.87040532441160501</v>
      </c>
      <c r="G4" s="5">
        <f t="shared" si="1"/>
        <v>5.7848109947200577E-2</v>
      </c>
      <c r="H4" s="5">
        <f t="shared" si="2"/>
        <v>3.8466011253546206E-2</v>
      </c>
    </row>
    <row r="5" spans="1:8" x14ac:dyDescent="0.3">
      <c r="A5" s="1">
        <v>3.5</v>
      </c>
      <c r="B5" s="2">
        <v>6.7245550000000001E-2</v>
      </c>
      <c r="C5" s="2">
        <v>6.7834000000000005E-2</v>
      </c>
      <c r="D5" s="2">
        <v>6.7284999999999998E-2</v>
      </c>
      <c r="E5" s="2">
        <v>6.7271999999999998E-2</v>
      </c>
      <c r="F5" s="5">
        <f t="shared" si="0"/>
        <v>0.87507649205040838</v>
      </c>
      <c r="G5" s="5">
        <f t="shared" si="1"/>
        <v>5.8665591998274813E-2</v>
      </c>
      <c r="H5" s="5">
        <f t="shared" si="2"/>
        <v>3.9333457752954715E-2</v>
      </c>
    </row>
    <row r="6" spans="1:8" x14ac:dyDescent="0.3">
      <c r="A6" s="1">
        <v>4.5</v>
      </c>
      <c r="B6" s="2">
        <v>6.742484E-2</v>
      </c>
      <c r="C6" s="2">
        <v>6.8023E-2</v>
      </c>
      <c r="D6" s="2">
        <v>6.7464999999999997E-2</v>
      </c>
      <c r="E6" s="2">
        <v>6.7451999999999998E-2</v>
      </c>
      <c r="F6" s="5">
        <f t="shared" si="0"/>
        <v>0.88715078893772947</v>
      </c>
      <c r="G6" s="5">
        <f t="shared" si="1"/>
        <v>5.9562618168618187E-2</v>
      </c>
      <c r="H6" s="5">
        <f t="shared" si="2"/>
        <v>4.0281890175775104E-2</v>
      </c>
    </row>
    <row r="7" spans="1:8" x14ac:dyDescent="0.3">
      <c r="A7" s="1">
        <v>5.5</v>
      </c>
      <c r="B7" s="2">
        <v>6.7610550000000005E-2</v>
      </c>
      <c r="C7" s="2">
        <v>6.8212999999999996E-2</v>
      </c>
      <c r="D7" s="2">
        <v>6.7653000000000005E-2</v>
      </c>
      <c r="E7" s="2">
        <v>6.7638000000000004E-2</v>
      </c>
      <c r="F7" s="5">
        <f t="shared" si="0"/>
        <v>0.8910591616249075</v>
      </c>
      <c r="G7" s="5">
        <f t="shared" si="1"/>
        <v>6.2786059276254136E-2</v>
      </c>
      <c r="H7" s="5">
        <f t="shared" si="2"/>
        <v>4.0600172606186646E-2</v>
      </c>
    </row>
    <row r="8" spans="1:8" x14ac:dyDescent="0.3">
      <c r="A8" s="1">
        <v>6.5</v>
      </c>
      <c r="B8" s="2">
        <v>6.7803260000000004E-2</v>
      </c>
      <c r="C8" s="2">
        <v>6.8414000000000003E-2</v>
      </c>
      <c r="D8" s="2">
        <v>6.7849000000000007E-2</v>
      </c>
      <c r="E8" s="2">
        <v>6.7832000000000003E-2</v>
      </c>
      <c r="F8" s="5">
        <f t="shared" si="0"/>
        <v>0.90075314962732023</v>
      </c>
      <c r="G8" s="5">
        <f t="shared" si="1"/>
        <v>6.7459883197362736E-2</v>
      </c>
      <c r="H8" s="5">
        <f t="shared" si="2"/>
        <v>4.2387342437510966E-2</v>
      </c>
    </row>
    <row r="9" spans="1:8" x14ac:dyDescent="0.3">
      <c r="A9" s="1">
        <v>7.5</v>
      </c>
      <c r="B9" s="2">
        <v>6.8003649999999999E-2</v>
      </c>
      <c r="C9" s="2">
        <v>6.8626000000000006E-2</v>
      </c>
      <c r="D9" s="2">
        <v>6.8053000000000002E-2</v>
      </c>
      <c r="E9" s="2">
        <v>6.8032999999999996E-2</v>
      </c>
      <c r="F9" s="5">
        <f t="shared" si="0"/>
        <v>0.91517146506108205</v>
      </c>
      <c r="G9" s="5">
        <f t="shared" si="1"/>
        <v>7.2569634129937555E-2</v>
      </c>
      <c r="H9" s="5">
        <f t="shared" si="2"/>
        <v>4.3159448059038041E-2</v>
      </c>
    </row>
    <row r="10" spans="1:8" x14ac:dyDescent="0.3">
      <c r="A10" s="1">
        <v>8.5</v>
      </c>
      <c r="B10" s="2">
        <v>6.8212510000000004E-2</v>
      </c>
      <c r="C10" s="2">
        <v>6.8834999999999993E-2</v>
      </c>
      <c r="D10" s="2">
        <v>6.8267999999999995E-2</v>
      </c>
      <c r="E10" s="2">
        <v>6.8243999999999999E-2</v>
      </c>
      <c r="F10" s="5">
        <f t="shared" si="0"/>
        <v>0.91257454094562096</v>
      </c>
      <c r="G10" s="5">
        <f t="shared" si="1"/>
        <v>8.1348714480666828E-2</v>
      </c>
      <c r="H10" s="5">
        <f t="shared" si="2"/>
        <v>4.6164552513894286E-2</v>
      </c>
    </row>
    <row r="11" spans="1:8" x14ac:dyDescent="0.3">
      <c r="A11" s="1">
        <v>9.5</v>
      </c>
      <c r="B11" s="2">
        <v>6.8430820000000003E-2</v>
      </c>
      <c r="C11" s="2">
        <v>6.9087999999999997E-2</v>
      </c>
      <c r="D11" s="2">
        <v>6.8493999999999999E-2</v>
      </c>
      <c r="E11" s="2">
        <v>6.8462999999999996E-2</v>
      </c>
      <c r="F11" s="5">
        <f t="shared" si="0"/>
        <v>0.96035675153387512</v>
      </c>
      <c r="G11" s="5">
        <f t="shared" si="1"/>
        <v>9.2326819991339626E-2</v>
      </c>
      <c r="H11" s="5">
        <f t="shared" si="2"/>
        <v>4.7025594607807975E-2</v>
      </c>
    </row>
    <row r="12" spans="1:8" x14ac:dyDescent="0.3">
      <c r="A12" s="1">
        <v>10.5</v>
      </c>
      <c r="B12" s="2">
        <v>6.8659709999999999E-2</v>
      </c>
      <c r="C12" s="2">
        <v>6.9301000000000001E-2</v>
      </c>
      <c r="D12" s="2">
        <v>6.8731E-2</v>
      </c>
      <c r="E12" s="2">
        <v>6.8696999999999994E-2</v>
      </c>
      <c r="F12" s="5">
        <f t="shared" si="0"/>
        <v>0.93401210112888933</v>
      </c>
      <c r="G12" s="5">
        <f t="shared" si="1"/>
        <v>0.10383090752932311</v>
      </c>
      <c r="H12" s="5">
        <f t="shared" si="2"/>
        <v>5.4311327560219169E-2</v>
      </c>
    </row>
    <row r="13" spans="1:8" x14ac:dyDescent="0.3">
      <c r="A13" s="1">
        <v>11.5</v>
      </c>
      <c r="B13" s="2">
        <v>6.8900329999999996E-2</v>
      </c>
      <c r="C13" s="2">
        <v>6.9623000000000004E-2</v>
      </c>
      <c r="D13" s="2">
        <v>6.8978999999999999E-2</v>
      </c>
      <c r="E13" s="2">
        <v>6.8937999999999999E-2</v>
      </c>
      <c r="F13" s="5">
        <f t="shared" si="0"/>
        <v>1.048862900946923</v>
      </c>
      <c r="G13" s="5">
        <f t="shared" si="1"/>
        <v>0.11417942410436588</v>
      </c>
      <c r="H13" s="5">
        <f t="shared" si="2"/>
        <v>5.4673177907860193E-2</v>
      </c>
    </row>
    <row r="14" spans="1:8" x14ac:dyDescent="0.3">
      <c r="A14" s="1">
        <v>12.5</v>
      </c>
      <c r="B14" s="2">
        <v>6.9153199999999998E-2</v>
      </c>
      <c r="C14" s="2">
        <v>6.9851999999999997E-2</v>
      </c>
      <c r="D14" s="2">
        <v>6.9235000000000005E-2</v>
      </c>
      <c r="E14" s="2">
        <v>6.9198999999999997E-2</v>
      </c>
      <c r="F14" s="5">
        <f t="shared" si="0"/>
        <v>1.0105099980912025</v>
      </c>
      <c r="G14" s="5">
        <f t="shared" si="1"/>
        <v>0.11828809078973102</v>
      </c>
      <c r="H14" s="5">
        <f t="shared" si="2"/>
        <v>6.6229762324798713E-2</v>
      </c>
    </row>
    <row r="15" spans="1:8" x14ac:dyDescent="0.3">
      <c r="A15" s="1">
        <v>13.5</v>
      </c>
      <c r="B15" s="2">
        <v>6.9415279999999996E-2</v>
      </c>
      <c r="C15" s="2">
        <v>7.0216000000000001E-2</v>
      </c>
      <c r="D15" s="2">
        <v>6.9494E-2</v>
      </c>
      <c r="E15" s="2">
        <v>6.9462999999999997E-2</v>
      </c>
      <c r="F15" s="5">
        <f t="shared" si="0"/>
        <v>1.1535212420089813</v>
      </c>
      <c r="G15" s="5">
        <f t="shared" si="1"/>
        <v>0.11340442623009039</v>
      </c>
      <c r="H15" s="5">
        <f t="shared" si="2"/>
        <v>6.874567098196227E-2</v>
      </c>
    </row>
    <row r="16" spans="1:8" x14ac:dyDescent="0.3">
      <c r="A16" s="1">
        <v>14.5</v>
      </c>
      <c r="B16" s="2">
        <v>6.9672079999999997E-2</v>
      </c>
      <c r="C16" s="2">
        <v>7.0481000000000002E-2</v>
      </c>
      <c r="D16" s="2">
        <v>6.9740999999999997E-2</v>
      </c>
      <c r="E16" s="2">
        <v>6.9724999999999995E-2</v>
      </c>
      <c r="F16" s="5">
        <f t="shared" si="0"/>
        <v>1.1610389699862722</v>
      </c>
      <c r="G16" s="5">
        <f t="shared" si="1"/>
        <v>9.8920543207547951E-2</v>
      </c>
      <c r="H16" s="5">
        <f t="shared" si="2"/>
        <v>7.5955820466377943E-2</v>
      </c>
    </row>
    <row r="17" spans="1:8" x14ac:dyDescent="0.3">
      <c r="A17" s="1">
        <v>15.5</v>
      </c>
      <c r="B17" s="2">
        <v>6.9882540000000007E-2</v>
      </c>
      <c r="C17" s="2">
        <v>7.0703000000000002E-2</v>
      </c>
      <c r="D17" s="2">
        <v>6.9940000000000002E-2</v>
      </c>
      <c r="E17" s="2">
        <v>6.9939000000000001E-2</v>
      </c>
      <c r="F17" s="5">
        <f t="shared" si="0"/>
        <v>1.1740557798843421</v>
      </c>
      <c r="G17" s="5">
        <f t="shared" si="1"/>
        <v>8.2223685630200549E-2</v>
      </c>
      <c r="H17" s="5">
        <f t="shared" si="2"/>
        <v>8.0792713029609331E-2</v>
      </c>
    </row>
    <row r="18" spans="1:8" x14ac:dyDescent="0.3">
      <c r="A18" s="1">
        <v>16.5</v>
      </c>
      <c r="B18" s="2">
        <v>6.9961860000000001E-2</v>
      </c>
      <c r="C18" s="2">
        <v>7.0818000000000006E-2</v>
      </c>
      <c r="D18" s="2">
        <v>7.0013000000000006E-2</v>
      </c>
      <c r="E18" s="2">
        <v>7.0010000000000003E-2</v>
      </c>
      <c r="F18" s="5">
        <f t="shared" si="0"/>
        <v>1.2237238975636222</v>
      </c>
      <c r="G18" s="5">
        <f t="shared" si="1"/>
        <v>7.30969702635198E-2</v>
      </c>
      <c r="H18" s="5">
        <f t="shared" si="2"/>
        <v>6.8808919602769691E-2</v>
      </c>
    </row>
    <row r="19" spans="1:8" x14ac:dyDescent="0.3">
      <c r="A19" s="1">
        <v>17.5</v>
      </c>
      <c r="B19" s="2">
        <v>6.9777870000000006E-2</v>
      </c>
      <c r="C19" s="2">
        <v>7.0507E-2</v>
      </c>
      <c r="D19" s="2">
        <v>6.9829000000000002E-2</v>
      </c>
      <c r="E19" s="2">
        <v>6.9831000000000004E-2</v>
      </c>
      <c r="F19" s="5">
        <f t="shared" si="0"/>
        <v>1.0449301476241679</v>
      </c>
      <c r="G19" s="5">
        <f t="shared" si="1"/>
        <v>7.3275380862147799E-2</v>
      </c>
      <c r="H19" s="5">
        <f t="shared" si="2"/>
        <v>7.6141619112179981E-2</v>
      </c>
    </row>
    <row r="20" spans="1:8" x14ac:dyDescent="0.3">
      <c r="A20" s="1">
        <v>18.5</v>
      </c>
      <c r="B20" s="2">
        <v>6.9175459999999994E-2</v>
      </c>
      <c r="C20" s="2">
        <v>6.9891999999999996E-2</v>
      </c>
      <c r="D20" s="2">
        <v>6.9231000000000001E-2</v>
      </c>
      <c r="E20" s="2">
        <v>6.9210999999999995E-2</v>
      </c>
      <c r="F20" s="5">
        <f t="shared" si="0"/>
        <v>1.0358297581252174</v>
      </c>
      <c r="G20" s="5">
        <f t="shared" si="1"/>
        <v>8.0288587889421059E-2</v>
      </c>
      <c r="H20" s="5">
        <f t="shared" si="2"/>
        <v>5.1376600892871771E-2</v>
      </c>
    </row>
    <row r="21" spans="1:8" x14ac:dyDescent="0.3">
      <c r="A21" s="1">
        <v>19.5</v>
      </c>
      <c r="B21" s="2">
        <v>6.8020360000000002E-2</v>
      </c>
      <c r="C21" s="2">
        <v>6.8579000000000001E-2</v>
      </c>
      <c r="D21" s="2">
        <v>6.8082000000000004E-2</v>
      </c>
      <c r="E21" s="2">
        <v>6.8064E-2</v>
      </c>
      <c r="F21" s="5">
        <f t="shared" si="0"/>
        <v>0.82128350981971465</v>
      </c>
      <c r="G21" s="5">
        <f t="shared" si="1"/>
        <v>9.0619926151536134E-2</v>
      </c>
      <c r="H21" s="5">
        <f t="shared" si="2"/>
        <v>6.4157261149455636E-2</v>
      </c>
    </row>
    <row r="22" spans="1:8" x14ac:dyDescent="0.3">
      <c r="A22" s="1">
        <v>20.5</v>
      </c>
      <c r="B22" s="2">
        <v>6.6237229999999994E-2</v>
      </c>
      <c r="C22" s="2">
        <v>6.6725999999999994E-2</v>
      </c>
      <c r="D22" s="2">
        <v>6.6300999999999999E-2</v>
      </c>
      <c r="E22" s="2">
        <v>6.6265000000000004E-2</v>
      </c>
      <c r="F22" s="5">
        <f t="shared" si="0"/>
        <v>0.73790827303616968</v>
      </c>
      <c r="G22" s="5">
        <f t="shared" si="1"/>
        <v>9.6275161265046982E-2</v>
      </c>
      <c r="H22" s="5">
        <f t="shared" si="2"/>
        <v>4.1925062385628209E-2</v>
      </c>
    </row>
    <row r="23" spans="1:8" x14ac:dyDescent="0.3">
      <c r="A23" s="1">
        <v>21.5</v>
      </c>
      <c r="B23" s="2">
        <v>6.3819639999999997E-2</v>
      </c>
      <c r="C23" s="2">
        <v>6.4197000000000004E-2</v>
      </c>
      <c r="D23" s="2">
        <v>6.3883999999999996E-2</v>
      </c>
      <c r="E23" s="2">
        <v>6.3856999999999997E-2</v>
      </c>
      <c r="F23" s="5">
        <f t="shared" si="0"/>
        <v>0.59129133288751135</v>
      </c>
      <c r="G23" s="5">
        <f t="shared" si="1"/>
        <v>0.10084669860250806</v>
      </c>
      <c r="H23" s="5">
        <f t="shared" si="2"/>
        <v>5.8539972961302311E-2</v>
      </c>
    </row>
    <row r="24" spans="1:8" x14ac:dyDescent="0.3">
      <c r="A24" s="1">
        <v>22.5</v>
      </c>
      <c r="B24" s="2">
        <v>6.0822630000000003E-2</v>
      </c>
      <c r="C24" s="2">
        <v>6.1122000000000003E-2</v>
      </c>
      <c r="D24" s="2">
        <v>6.0886000000000003E-2</v>
      </c>
      <c r="E24" s="2">
        <v>6.0847999999999999E-2</v>
      </c>
      <c r="F24" s="5">
        <f t="shared" si="0"/>
        <v>0.49220166901693396</v>
      </c>
      <c r="G24" s="5">
        <f t="shared" si="1"/>
        <v>0.10418819442696847</v>
      </c>
      <c r="H24" s="5">
        <f t="shared" si="2"/>
        <v>4.1711448518411132E-2</v>
      </c>
    </row>
    <row r="25" spans="1:8" x14ac:dyDescent="0.3">
      <c r="A25" s="1">
        <v>23.5</v>
      </c>
      <c r="B25" s="2">
        <v>5.7348080000000003E-2</v>
      </c>
      <c r="C25" s="2">
        <v>5.7585999999999998E-2</v>
      </c>
      <c r="D25" s="2">
        <v>5.7410000000000003E-2</v>
      </c>
      <c r="E25" s="2">
        <v>5.7382000000000002E-2</v>
      </c>
      <c r="F25" s="5">
        <f t="shared" si="0"/>
        <v>0.41487003575357839</v>
      </c>
      <c r="G25" s="5">
        <f t="shared" si="1"/>
        <v>0.10797222853842214</v>
      </c>
      <c r="H25" s="5">
        <f t="shared" si="2"/>
        <v>5.9147577390561423E-2</v>
      </c>
    </row>
    <row r="26" spans="1:8" x14ac:dyDescent="0.3">
      <c r="A26" s="1">
        <v>24.5</v>
      </c>
      <c r="B26" s="2">
        <v>5.3524750000000003E-2</v>
      </c>
      <c r="C26" s="2">
        <v>5.3693999999999999E-2</v>
      </c>
      <c r="D26" s="2">
        <v>5.3582999999999999E-2</v>
      </c>
      <c r="E26" s="2">
        <v>5.3548999999999999E-2</v>
      </c>
      <c r="F26" s="5">
        <f t="shared" si="0"/>
        <v>0.31620885665042398</v>
      </c>
      <c r="G26" s="5">
        <f t="shared" si="1"/>
        <v>0.10882815893580311</v>
      </c>
      <c r="H26" s="5">
        <f t="shared" si="2"/>
        <v>4.5306143419621137E-2</v>
      </c>
    </row>
    <row r="27" spans="1:8" x14ac:dyDescent="0.3">
      <c r="A27" s="1">
        <v>25.5</v>
      </c>
      <c r="B27" s="2">
        <v>4.9489039999999998E-2</v>
      </c>
      <c r="C27" s="2">
        <v>4.9631000000000002E-2</v>
      </c>
      <c r="D27" s="2">
        <v>4.9542999999999997E-2</v>
      </c>
      <c r="E27" s="2">
        <v>4.9521000000000003E-2</v>
      </c>
      <c r="F27" s="5">
        <f t="shared" si="0"/>
        <v>0.28685139174249308</v>
      </c>
      <c r="G27" s="5">
        <f t="shared" si="1"/>
        <v>0.10903424273334128</v>
      </c>
      <c r="H27" s="5">
        <f t="shared" si="2"/>
        <v>6.4579955481058882E-2</v>
      </c>
    </row>
    <row r="28" spans="1:8" x14ac:dyDescent="0.3">
      <c r="A28" s="1">
        <v>26.5</v>
      </c>
      <c r="B28" s="2">
        <v>4.5370109999999998E-2</v>
      </c>
      <c r="C28" s="2">
        <v>4.5458999999999999E-2</v>
      </c>
      <c r="D28" s="2">
        <v>4.5420000000000002E-2</v>
      </c>
      <c r="E28" s="2">
        <v>4.5393999999999997E-2</v>
      </c>
      <c r="F28" s="5">
        <f t="shared" si="0"/>
        <v>0.19592194067856727</v>
      </c>
      <c r="G28" s="5">
        <f t="shared" si="1"/>
        <v>0.10996226370181272</v>
      </c>
      <c r="H28" s="5">
        <f t="shared" si="2"/>
        <v>5.2655812383961553E-2</v>
      </c>
    </row>
    <row r="29" spans="1:8" x14ac:dyDescent="0.3">
      <c r="A29" s="1">
        <v>27.5</v>
      </c>
      <c r="B29" s="2">
        <v>4.128039E-2</v>
      </c>
      <c r="C29" s="2">
        <v>4.1361000000000002E-2</v>
      </c>
      <c r="D29" s="2">
        <v>4.1326000000000002E-2</v>
      </c>
      <c r="E29" s="2">
        <v>4.1308999999999998E-2</v>
      </c>
      <c r="F29" s="5">
        <f t="shared" si="0"/>
        <v>0.19527431790251626</v>
      </c>
      <c r="G29" s="5">
        <f t="shared" si="1"/>
        <v>0.11048829722781761</v>
      </c>
      <c r="H29" s="5">
        <f t="shared" si="2"/>
        <v>6.9306515757228127E-2</v>
      </c>
    </row>
    <row r="30" spans="1:8" x14ac:dyDescent="0.3">
      <c r="A30" s="1">
        <v>28.5</v>
      </c>
      <c r="B30" s="2">
        <v>3.7310870000000003E-2</v>
      </c>
      <c r="C30" s="2">
        <v>3.7353999999999998E-2</v>
      </c>
      <c r="D30" s="2">
        <v>3.7352000000000003E-2</v>
      </c>
      <c r="E30" s="2">
        <v>3.7332999999999998E-2</v>
      </c>
      <c r="F30" s="5">
        <f t="shared" si="0"/>
        <v>0.11559633961897298</v>
      </c>
      <c r="G30" s="5">
        <f t="shared" si="1"/>
        <v>0.11023597144745878</v>
      </c>
      <c r="H30" s="5">
        <f t="shared" si="2"/>
        <v>5.9312473817940692E-2</v>
      </c>
    </row>
    <row r="31" spans="1:8" x14ac:dyDescent="0.3">
      <c r="A31" s="1">
        <v>29.5</v>
      </c>
      <c r="B31" s="2">
        <v>3.3530150000000002E-2</v>
      </c>
      <c r="C31" s="2">
        <v>3.3574E-2</v>
      </c>
      <c r="D31" s="2">
        <v>3.3567E-2</v>
      </c>
      <c r="E31" s="2">
        <v>3.3555000000000001E-2</v>
      </c>
      <c r="F31" s="5">
        <f t="shared" si="0"/>
        <v>0.13077782234793833</v>
      </c>
      <c r="G31" s="5">
        <f t="shared" si="1"/>
        <v>0.10990108901987039</v>
      </c>
      <c r="H31" s="5">
        <f t="shared" si="2"/>
        <v>7.4112403314630093E-2</v>
      </c>
    </row>
    <row r="32" spans="1:8" x14ac:dyDescent="0.3">
      <c r="A32" s="1">
        <v>30.5</v>
      </c>
      <c r="B32" s="2">
        <v>2.9985939999999999E-2</v>
      </c>
      <c r="C32" s="2">
        <v>3.0002999999999998E-2</v>
      </c>
      <c r="D32" s="2">
        <v>3.0019000000000001E-2</v>
      </c>
      <c r="E32" s="2">
        <v>3.0005E-2</v>
      </c>
      <c r="F32" s="5">
        <f t="shared" si="0"/>
        <v>5.6893330674312459E-2</v>
      </c>
      <c r="G32" s="5">
        <f t="shared" si="1"/>
        <v>0.11025167128329016</v>
      </c>
      <c r="H32" s="5">
        <f t="shared" si="2"/>
        <v>6.3563123250442999E-2</v>
      </c>
    </row>
    <row r="33" spans="1:8" x14ac:dyDescent="0.3">
      <c r="A33" s="1">
        <v>31.5</v>
      </c>
      <c r="B33" s="2">
        <v>2.6707930000000001E-2</v>
      </c>
      <c r="C33" s="2">
        <v>2.6731000000000001E-2</v>
      </c>
      <c r="D33" s="2">
        <v>2.6737E-2</v>
      </c>
      <c r="E33" s="2">
        <v>2.6728999999999999E-2</v>
      </c>
      <c r="F33" s="5">
        <f t="shared" si="0"/>
        <v>8.6378839543166386E-2</v>
      </c>
      <c r="G33" s="5">
        <f t="shared" si="1"/>
        <v>0.1088440773957311</v>
      </c>
      <c r="H33" s="5">
        <f t="shared" si="2"/>
        <v>7.8890426925637414E-2</v>
      </c>
    </row>
    <row r="34" spans="1:8" x14ac:dyDescent="0.3">
      <c r="A34" s="1">
        <v>32.5</v>
      </c>
      <c r="B34" s="2">
        <v>2.3711650000000001E-2</v>
      </c>
      <c r="C34" s="2">
        <v>2.3716000000000001E-2</v>
      </c>
      <c r="D34" s="2">
        <v>2.3737999999999999E-2</v>
      </c>
      <c r="E34" s="2">
        <v>2.3727999999999999E-2</v>
      </c>
      <c r="F34" s="5">
        <f t="shared" ref="F34:F65" si="3">100*(C34/B34-1)</f>
        <v>1.8345412487108526E-2</v>
      </c>
      <c r="G34" s="5">
        <f t="shared" ref="G34:G65" si="4">100*(D34/B34-1)</f>
        <v>0.11112680897364946</v>
      </c>
      <c r="H34" s="5">
        <f t="shared" si="2"/>
        <v>6.8953446934316709E-2</v>
      </c>
    </row>
    <row r="35" spans="1:8" x14ac:dyDescent="0.3">
      <c r="A35" s="1">
        <v>33.5</v>
      </c>
      <c r="B35" s="2">
        <v>2.1002139999999999E-2</v>
      </c>
      <c r="C35" s="2">
        <v>2.1014000000000001E-2</v>
      </c>
      <c r="D35" s="2">
        <v>2.1024999999999999E-2</v>
      </c>
      <c r="E35" s="2">
        <v>2.102E-2</v>
      </c>
      <c r="F35" s="5">
        <f t="shared" si="3"/>
        <v>5.6470435869870883E-2</v>
      </c>
      <c r="G35" s="5">
        <f t="shared" si="4"/>
        <v>0.10884605092624788</v>
      </c>
      <c r="H35" s="5">
        <f t="shared" si="2"/>
        <v>8.5038953173355303E-2</v>
      </c>
    </row>
    <row r="36" spans="1:8" x14ac:dyDescent="0.3">
      <c r="A36" s="1">
        <v>34.5</v>
      </c>
      <c r="B36" s="2">
        <v>1.8571799999999999E-2</v>
      </c>
      <c r="C36" s="2">
        <v>1.8571000000000001E-2</v>
      </c>
      <c r="D36" s="2">
        <v>1.8592000000000001E-2</v>
      </c>
      <c r="E36" s="2">
        <v>1.8585000000000001E-2</v>
      </c>
      <c r="F36" s="5">
        <f t="shared" si="3"/>
        <v>-4.3076061555624712E-3</v>
      </c>
      <c r="G36" s="5">
        <f t="shared" si="4"/>
        <v>0.10876705542812726</v>
      </c>
      <c r="H36" s="5">
        <f t="shared" si="2"/>
        <v>7.107550156690845E-2</v>
      </c>
    </row>
    <row r="37" spans="1:8" x14ac:dyDescent="0.3">
      <c r="A37" s="1">
        <v>35.5</v>
      </c>
      <c r="B37" s="2">
        <v>1.6404599999999998E-2</v>
      </c>
      <c r="C37" s="2">
        <v>1.6410000000000001E-2</v>
      </c>
      <c r="D37" s="2">
        <v>1.6423E-2</v>
      </c>
      <c r="E37" s="2">
        <v>1.6419E-2</v>
      </c>
      <c r="F37" s="5">
        <f t="shared" si="3"/>
        <v>3.2917596283987827E-2</v>
      </c>
      <c r="G37" s="5">
        <f t="shared" si="4"/>
        <v>0.11216366141204581</v>
      </c>
      <c r="H37" s="5">
        <f t="shared" si="2"/>
        <v>8.7780256757263864E-2</v>
      </c>
    </row>
    <row r="38" spans="1:8" x14ac:dyDescent="0.3">
      <c r="A38" s="1">
        <v>36.5</v>
      </c>
      <c r="B38" s="2">
        <v>1.4480730000000001E-2</v>
      </c>
      <c r="C38" s="2">
        <v>1.4478E-2</v>
      </c>
      <c r="D38" s="2">
        <v>1.4496999999999999E-2</v>
      </c>
      <c r="E38" s="2">
        <v>1.4492E-2</v>
      </c>
      <c r="F38" s="5">
        <f t="shared" si="3"/>
        <v>-1.8852640716326974E-2</v>
      </c>
      <c r="G38" s="5">
        <f t="shared" si="4"/>
        <v>0.1123562140858736</v>
      </c>
      <c r="H38" s="5">
        <f t="shared" si="2"/>
        <v>7.7827568085298005E-2</v>
      </c>
    </row>
    <row r="39" spans="1:8" x14ac:dyDescent="0.3">
      <c r="A39" s="1">
        <v>37.5</v>
      </c>
      <c r="B39" s="2">
        <v>1.277874E-2</v>
      </c>
      <c r="C39" s="2">
        <v>1.2782E-2</v>
      </c>
      <c r="D39" s="2">
        <v>1.2793000000000001E-2</v>
      </c>
      <c r="E39" s="2">
        <v>1.2789999999999999E-2</v>
      </c>
      <c r="F39" s="5">
        <f t="shared" si="3"/>
        <v>2.5511122379828777E-2</v>
      </c>
      <c r="G39" s="5">
        <f t="shared" si="4"/>
        <v>0.11159159666758178</v>
      </c>
      <c r="H39" s="5">
        <f t="shared" si="2"/>
        <v>8.8115103680008744E-2</v>
      </c>
    </row>
    <row r="40" spans="1:8" x14ac:dyDescent="0.3">
      <c r="A40" s="1">
        <v>38.5</v>
      </c>
      <c r="B40" s="2">
        <v>1.127688E-2</v>
      </c>
      <c r="C40" s="2">
        <v>1.1273999999999999E-2</v>
      </c>
      <c r="D40" s="2">
        <v>1.1289E-2</v>
      </c>
      <c r="E40" s="2">
        <v>1.1285999999999999E-2</v>
      </c>
      <c r="F40" s="5">
        <f t="shared" si="3"/>
        <v>-2.5538978866501694E-2</v>
      </c>
      <c r="G40" s="5">
        <f t="shared" si="4"/>
        <v>0.10747653606317797</v>
      </c>
      <c r="H40" s="5">
        <f t="shared" si="2"/>
        <v>8.0873433077233159E-2</v>
      </c>
    </row>
    <row r="41" spans="1:8" x14ac:dyDescent="0.3">
      <c r="A41" s="1">
        <v>39.5</v>
      </c>
      <c r="B41" s="2">
        <v>9.9539829999999996E-3</v>
      </c>
      <c r="C41" s="2">
        <v>9.9556000000000002E-3</v>
      </c>
      <c r="D41" s="2">
        <v>9.9647999999999994E-3</v>
      </c>
      <c r="E41" s="2">
        <v>9.9631000000000008E-3</v>
      </c>
      <c r="F41" s="5">
        <f t="shared" si="3"/>
        <v>1.6244753482097529E-2</v>
      </c>
      <c r="G41" s="5">
        <f t="shared" si="4"/>
        <v>0.10867006704753379</v>
      </c>
      <c r="H41" s="5">
        <f t="shared" si="2"/>
        <v>9.1591476497399071E-2</v>
      </c>
    </row>
    <row r="42" spans="1:8" x14ac:dyDescent="0.3">
      <c r="A42" s="1">
        <v>40.5</v>
      </c>
      <c r="B42" s="2">
        <v>8.7900570000000004E-3</v>
      </c>
      <c r="C42" s="2">
        <v>8.7875999999999996E-3</v>
      </c>
      <c r="D42" s="2">
        <v>8.7995999999999994E-3</v>
      </c>
      <c r="E42" s="2">
        <v>8.7972999999999992E-3</v>
      </c>
      <c r="F42" s="5">
        <f t="shared" si="3"/>
        <v>-2.7952037171097288E-2</v>
      </c>
      <c r="G42" s="5">
        <f t="shared" si="4"/>
        <v>0.10856584889038512</v>
      </c>
      <c r="H42" s="5">
        <f t="shared" si="2"/>
        <v>8.2399920728604137E-2</v>
      </c>
    </row>
    <row r="43" spans="1:8" x14ac:dyDescent="0.3">
      <c r="A43" s="1">
        <v>41.5</v>
      </c>
      <c r="B43" s="2">
        <v>7.7666059999999997E-3</v>
      </c>
      <c r="C43" s="2">
        <v>7.7676999999999998E-3</v>
      </c>
      <c r="D43" s="2">
        <v>7.7751000000000001E-3</v>
      </c>
      <c r="E43" s="2">
        <v>7.7739000000000003E-3</v>
      </c>
      <c r="F43" s="5">
        <f t="shared" si="3"/>
        <v>1.4085946937436589E-2</v>
      </c>
      <c r="G43" s="5">
        <f t="shared" si="4"/>
        <v>0.10936566113950441</v>
      </c>
      <c r="H43" s="5">
        <f t="shared" si="2"/>
        <v>9.3914896674318626E-2</v>
      </c>
    </row>
    <row r="44" spans="1:8" x14ac:dyDescent="0.3">
      <c r="A44" s="1">
        <v>42.5</v>
      </c>
      <c r="B44" s="2">
        <v>6.8667829999999996E-3</v>
      </c>
      <c r="C44" s="2">
        <v>6.8649000000000002E-3</v>
      </c>
      <c r="D44" s="2">
        <v>6.8742999999999999E-3</v>
      </c>
      <c r="E44" s="2">
        <v>6.8726000000000004E-3</v>
      </c>
      <c r="F44" s="5">
        <f t="shared" si="3"/>
        <v>-2.7421865522758715E-2</v>
      </c>
      <c r="G44" s="5">
        <f t="shared" si="4"/>
        <v>0.1094690191899117</v>
      </c>
      <c r="H44" s="5">
        <f t="shared" si="2"/>
        <v>8.4712157061050952E-2</v>
      </c>
    </row>
    <row r="45" spans="1:8" x14ac:dyDescent="0.3">
      <c r="A45" s="1">
        <v>43.5</v>
      </c>
      <c r="B45" s="2">
        <v>6.0754260000000001E-3</v>
      </c>
      <c r="C45" s="2">
        <v>6.0762000000000004E-3</v>
      </c>
      <c r="D45" s="2">
        <v>6.0819999999999997E-3</v>
      </c>
      <c r="E45" s="2">
        <v>6.0812000000000001E-3</v>
      </c>
      <c r="F45" s="5">
        <f t="shared" si="3"/>
        <v>1.2739847378617775E-2</v>
      </c>
      <c r="G45" s="5">
        <f t="shared" si="4"/>
        <v>0.10820640396245196</v>
      </c>
      <c r="H45" s="5">
        <f t="shared" si="2"/>
        <v>9.5038603054331539E-2</v>
      </c>
    </row>
    <row r="46" spans="1:8" x14ac:dyDescent="0.3">
      <c r="A46" s="1">
        <v>44.5</v>
      </c>
      <c r="B46" s="2">
        <v>5.3790080000000002E-3</v>
      </c>
      <c r="C46" s="2">
        <v>5.3777E-3</v>
      </c>
      <c r="D46" s="2">
        <v>5.3848999999999998E-3</v>
      </c>
      <c r="E46" s="2">
        <v>5.3836999999999999E-3</v>
      </c>
      <c r="F46" s="5">
        <f t="shared" si="3"/>
        <v>-2.4316751341513232E-2</v>
      </c>
      <c r="G46" s="5">
        <f t="shared" si="4"/>
        <v>0.10953692576771701</v>
      </c>
      <c r="H46" s="5">
        <f t="shared" si="2"/>
        <v>8.7227979582849002E-2</v>
      </c>
    </row>
    <row r="47" spans="1:8" x14ac:dyDescent="0.3">
      <c r="A47" s="1">
        <v>45.5</v>
      </c>
      <c r="B47" s="2">
        <v>4.7655320000000003E-3</v>
      </c>
      <c r="C47" s="2">
        <v>4.7662E-3</v>
      </c>
      <c r="D47" s="2">
        <v>4.7707000000000001E-3</v>
      </c>
      <c r="E47" s="2">
        <v>4.7701000000000002E-3</v>
      </c>
      <c r="F47" s="5">
        <f t="shared" si="3"/>
        <v>1.4017322724924064E-2</v>
      </c>
      <c r="G47" s="5">
        <f t="shared" si="4"/>
        <v>0.10844539497374406</v>
      </c>
      <c r="H47" s="5">
        <f t="shared" si="2"/>
        <v>9.5854985340571019E-2</v>
      </c>
    </row>
    <row r="48" spans="1:8" x14ac:dyDescent="0.3">
      <c r="A48" s="1">
        <v>46.5</v>
      </c>
      <c r="B48" s="2">
        <v>4.224411E-3</v>
      </c>
      <c r="C48" s="2">
        <v>4.2236000000000001E-3</v>
      </c>
      <c r="D48" s="2">
        <v>4.2290000000000001E-3</v>
      </c>
      <c r="E48" s="2">
        <v>4.2281000000000003E-3</v>
      </c>
      <c r="F48" s="5">
        <f t="shared" si="3"/>
        <v>-1.9197942624427089E-2</v>
      </c>
      <c r="G48" s="5">
        <f t="shared" si="4"/>
        <v>0.10863052861096456</v>
      </c>
      <c r="H48" s="5">
        <f t="shared" si="2"/>
        <v>8.7325783405067803E-2</v>
      </c>
    </row>
    <row r="49" spans="1:8" x14ac:dyDescent="0.3">
      <c r="A49" s="1">
        <v>47.5</v>
      </c>
      <c r="B49" s="2">
        <v>3.746409E-3</v>
      </c>
      <c r="C49" s="2">
        <v>3.7469999999999999E-3</v>
      </c>
      <c r="D49" s="2">
        <v>3.7504999999999999E-3</v>
      </c>
      <c r="E49" s="2">
        <v>3.7501000000000001E-3</v>
      </c>
      <c r="F49" s="5">
        <f t="shared" si="3"/>
        <v>1.5775106241733283E-2</v>
      </c>
      <c r="G49" s="5">
        <f t="shared" si="4"/>
        <v>0.10919790124355178</v>
      </c>
      <c r="H49" s="5">
        <f t="shared" si="2"/>
        <v>9.8521010386209973E-2</v>
      </c>
    </row>
    <row r="50" spans="1:8" x14ac:dyDescent="0.3">
      <c r="A50" s="1">
        <v>48.5</v>
      </c>
      <c r="B50" s="2">
        <v>3.3235360000000002E-3</v>
      </c>
      <c r="C50" s="2">
        <v>3.323E-3</v>
      </c>
      <c r="D50" s="2">
        <v>3.3272000000000002E-3</v>
      </c>
      <c r="E50" s="2">
        <v>3.3265E-3</v>
      </c>
      <c r="F50" s="5">
        <f t="shared" si="3"/>
        <v>-1.612740165896076E-2</v>
      </c>
      <c r="G50" s="5">
        <f t="shared" si="4"/>
        <v>0.11024402925077226</v>
      </c>
      <c r="H50" s="5">
        <f t="shared" si="2"/>
        <v>8.9182124099140836E-2</v>
      </c>
    </row>
    <row r="51" spans="1:8" x14ac:dyDescent="0.3">
      <c r="A51" s="1">
        <v>49.5</v>
      </c>
      <c r="B51" s="2">
        <v>2.9488869999999999E-3</v>
      </c>
      <c r="C51" s="2">
        <v>2.9494E-3</v>
      </c>
      <c r="D51" s="2">
        <v>2.9521E-3</v>
      </c>
      <c r="E51" s="2">
        <v>2.9518000000000001E-3</v>
      </c>
      <c r="F51" s="5">
        <f t="shared" si="3"/>
        <v>1.7396393961521817E-2</v>
      </c>
      <c r="G51" s="5">
        <f t="shared" si="4"/>
        <v>0.10895636218004601</v>
      </c>
      <c r="H51" s="5">
        <f t="shared" si="2"/>
        <v>9.8783032377980362E-2</v>
      </c>
    </row>
    <row r="52" spans="1:8" x14ac:dyDescent="0.3">
      <c r="A52" s="1">
        <v>50.5</v>
      </c>
      <c r="B52" s="2">
        <v>2.6164970000000002E-3</v>
      </c>
      <c r="C52" s="2">
        <v>2.6161999999999999E-3</v>
      </c>
      <c r="D52" s="2">
        <v>2.6193000000000002E-3</v>
      </c>
      <c r="E52" s="2">
        <v>2.6189E-3</v>
      </c>
      <c r="F52" s="5">
        <f t="shared" si="3"/>
        <v>-1.1351054482400258E-2</v>
      </c>
      <c r="G52" s="5">
        <f t="shared" si="4"/>
        <v>0.10712796536742619</v>
      </c>
      <c r="H52" s="5">
        <f t="shared" si="2"/>
        <v>9.1840349902927443E-2</v>
      </c>
    </row>
    <row r="53" spans="1:8" x14ac:dyDescent="0.3">
      <c r="A53" s="1">
        <v>51.5</v>
      </c>
      <c r="B53" s="2">
        <v>2.3212089999999999E-3</v>
      </c>
      <c r="C53" s="2">
        <v>2.3216000000000001E-3</v>
      </c>
      <c r="D53" s="2">
        <v>2.3237000000000002E-3</v>
      </c>
      <c r="E53" s="2">
        <v>2.3235E-3</v>
      </c>
      <c r="F53" s="5">
        <f t="shared" si="3"/>
        <v>1.6844670169735565E-2</v>
      </c>
      <c r="G53" s="5">
        <f t="shared" si="4"/>
        <v>0.1073147657104645</v>
      </c>
      <c r="H53" s="5">
        <f t="shared" si="2"/>
        <v>9.8698566135158039E-2</v>
      </c>
    </row>
    <row r="54" spans="1:8" x14ac:dyDescent="0.3">
      <c r="A54" s="1">
        <v>52.5</v>
      </c>
      <c r="B54" s="2">
        <v>2.058561E-3</v>
      </c>
      <c r="C54" s="2">
        <v>2.0582999999999999E-3</v>
      </c>
      <c r="D54" s="2">
        <v>2.0607999999999998E-3</v>
      </c>
      <c r="E54" s="2">
        <v>2.0604E-3</v>
      </c>
      <c r="F54" s="5">
        <f t="shared" si="3"/>
        <v>-1.2678759580120325E-2</v>
      </c>
      <c r="G54" s="5">
        <f t="shared" si="4"/>
        <v>0.10876529770067478</v>
      </c>
      <c r="H54" s="5">
        <f t="shared" si="2"/>
        <v>8.933424853574401E-2</v>
      </c>
    </row>
    <row r="55" spans="1:8" x14ac:dyDescent="0.3">
      <c r="A55" s="1">
        <v>53.5</v>
      </c>
      <c r="B55" s="2">
        <v>1.824687E-3</v>
      </c>
      <c r="C55" s="2">
        <v>1.825E-3</v>
      </c>
      <c r="D55" s="2">
        <v>1.8266999999999999E-3</v>
      </c>
      <c r="E55" s="2">
        <v>1.8265E-3</v>
      </c>
      <c r="F55" s="5">
        <f t="shared" si="3"/>
        <v>1.7153626896004859E-2</v>
      </c>
      <c r="G55" s="5">
        <f t="shared" si="4"/>
        <v>0.11032029054844905</v>
      </c>
      <c r="H55" s="5">
        <f t="shared" si="2"/>
        <v>9.9359506589347113E-2</v>
      </c>
    </row>
    <row r="56" spans="1:8" x14ac:dyDescent="0.3">
      <c r="A56" s="1">
        <v>54.5</v>
      </c>
      <c r="B56" s="2">
        <v>1.6162310000000001E-3</v>
      </c>
      <c r="C56" s="2">
        <v>1.6161000000000001E-3</v>
      </c>
      <c r="D56" s="2">
        <v>1.6180000000000001E-3</v>
      </c>
      <c r="E56" s="2">
        <v>1.6176999999999999E-3</v>
      </c>
      <c r="F56" s="5">
        <f t="shared" si="3"/>
        <v>-8.1052770303235988E-3</v>
      </c>
      <c r="G56" s="5">
        <f t="shared" si="4"/>
        <v>0.10945217608127056</v>
      </c>
      <c r="H56" s="5">
        <f t="shared" si="2"/>
        <v>9.0890472958382595E-2</v>
      </c>
    </row>
    <row r="57" spans="1:8" x14ac:dyDescent="0.3">
      <c r="A57" s="1">
        <v>55.5</v>
      </c>
      <c r="B57" s="2">
        <v>1.4302659999999999E-3</v>
      </c>
      <c r="C57" s="2">
        <v>1.4304999999999999E-3</v>
      </c>
      <c r="D57" s="2">
        <v>1.4318E-3</v>
      </c>
      <c r="E57" s="2">
        <v>1.4316999999999999E-3</v>
      </c>
      <c r="F57" s="5">
        <f t="shared" si="3"/>
        <v>1.6360593064512763E-2</v>
      </c>
      <c r="G57" s="5">
        <f t="shared" si="4"/>
        <v>0.10725277675622813</v>
      </c>
      <c r="H57" s="5">
        <f t="shared" si="2"/>
        <v>0.10026107031839704</v>
      </c>
    </row>
    <row r="58" spans="1:8" x14ac:dyDescent="0.3">
      <c r="A58" s="1">
        <v>56.5</v>
      </c>
      <c r="B58" s="2">
        <v>1.264233E-3</v>
      </c>
      <c r="C58" s="2">
        <v>1.2641E-3</v>
      </c>
      <c r="D58" s="2">
        <v>1.2656E-3</v>
      </c>
      <c r="E58" s="2">
        <v>1.2654000000000001E-3</v>
      </c>
      <c r="F58" s="5">
        <f t="shared" si="3"/>
        <v>-1.0520212650677596E-2</v>
      </c>
      <c r="G58" s="5">
        <f t="shared" si="4"/>
        <v>0.10812880220654186</v>
      </c>
      <c r="H58" s="5">
        <f t="shared" si="2"/>
        <v>9.2308933558937767E-2</v>
      </c>
    </row>
    <row r="59" spans="1:8" x14ac:dyDescent="0.3">
      <c r="A59" s="1">
        <v>57.5</v>
      </c>
      <c r="B59" s="2">
        <v>1.115921E-3</v>
      </c>
      <c r="C59" s="2">
        <v>1.1161000000000001E-3</v>
      </c>
      <c r="D59" s="2">
        <v>1.1171E-3</v>
      </c>
      <c r="E59" s="2">
        <v>1.1169999999999999E-3</v>
      </c>
      <c r="F59" s="5">
        <f t="shared" si="3"/>
        <v>1.6040562011121473E-2</v>
      </c>
      <c r="G59" s="5">
        <f t="shared" si="4"/>
        <v>0.10565264028548071</v>
      </c>
      <c r="H59" s="5">
        <f t="shared" si="2"/>
        <v>9.6691432458029247E-2</v>
      </c>
    </row>
    <row r="60" spans="1:8" x14ac:dyDescent="0.3">
      <c r="A60" s="1">
        <v>58.5</v>
      </c>
      <c r="B60" s="2">
        <v>9.8343270000000003E-4</v>
      </c>
      <c r="C60" s="2">
        <v>9.8328999999999995E-4</v>
      </c>
      <c r="D60" s="2">
        <v>9.8451000000000007E-4</v>
      </c>
      <c r="E60" s="2">
        <v>9.8434E-4</v>
      </c>
      <c r="F60" s="5">
        <f t="shared" si="3"/>
        <v>-1.4510398118761092E-2</v>
      </c>
      <c r="G60" s="5">
        <f t="shared" si="4"/>
        <v>0.10954486260219554</v>
      </c>
      <c r="H60" s="5">
        <f t="shared" si="2"/>
        <v>9.2258473813200403E-2</v>
      </c>
    </row>
    <row r="61" spans="1:8" x14ac:dyDescent="0.3">
      <c r="A61" s="1">
        <v>59.5</v>
      </c>
      <c r="B61" s="2">
        <v>8.6512660000000001E-4</v>
      </c>
      <c r="C61" s="2">
        <v>8.6521000000000005E-4</v>
      </c>
      <c r="D61" s="2">
        <v>8.6607000000000003E-4</v>
      </c>
      <c r="E61" s="2">
        <v>8.6598000000000003E-4</v>
      </c>
      <c r="F61" s="5">
        <f t="shared" si="3"/>
        <v>9.6402075719259628E-3</v>
      </c>
      <c r="G61" s="5">
        <f t="shared" si="4"/>
        <v>0.10904762378129984</v>
      </c>
      <c r="H61" s="5">
        <f t="shared" si="2"/>
        <v>9.8644522084967434E-2</v>
      </c>
    </row>
    <row r="62" spans="1:8" x14ac:dyDescent="0.3">
      <c r="A62" s="1">
        <v>60.5</v>
      </c>
      <c r="B62" s="2">
        <v>7.595713E-4</v>
      </c>
      <c r="C62" s="2">
        <v>7.5940999999999997E-4</v>
      </c>
      <c r="D62" s="2">
        <v>7.6040000000000005E-4</v>
      </c>
      <c r="E62" s="2">
        <v>7.6026999999999996E-4</v>
      </c>
      <c r="F62" s="5">
        <f t="shared" si="3"/>
        <v>-2.123566280085587E-2</v>
      </c>
      <c r="G62" s="5">
        <f t="shared" si="4"/>
        <v>0.10910101527006333</v>
      </c>
      <c r="H62" s="5">
        <f t="shared" si="2"/>
        <v>9.1986097947605039E-2</v>
      </c>
    </row>
    <row r="63" spans="1:8" x14ac:dyDescent="0.3">
      <c r="A63" s="1">
        <v>61.5</v>
      </c>
      <c r="B63" s="2">
        <v>6.6550509999999997E-4</v>
      </c>
      <c r="C63" s="2">
        <v>6.6553000000000001E-4</v>
      </c>
      <c r="D63" s="2">
        <v>6.6622999999999997E-4</v>
      </c>
      <c r="E63" s="2">
        <v>6.6615999999999995E-4</v>
      </c>
      <c r="F63" s="5">
        <f t="shared" si="3"/>
        <v>3.7415190357048544E-3</v>
      </c>
      <c r="G63" s="5">
        <f t="shared" si="4"/>
        <v>0.10892478509931802</v>
      </c>
      <c r="H63" s="5">
        <f t="shared" si="2"/>
        <v>9.8406458492950044E-2</v>
      </c>
    </row>
    <row r="64" spans="1:8" x14ac:dyDescent="0.3">
      <c r="A64" s="1">
        <v>62.5</v>
      </c>
      <c r="B64" s="2">
        <v>5.8180389999999997E-4</v>
      </c>
      <c r="C64" s="2">
        <v>5.8162999999999997E-4</v>
      </c>
      <c r="D64" s="2">
        <v>5.8244000000000004E-4</v>
      </c>
      <c r="E64" s="2">
        <v>5.8233000000000004E-4</v>
      </c>
      <c r="F64" s="5">
        <f t="shared" si="3"/>
        <v>-2.9889796201088004E-2</v>
      </c>
      <c r="G64" s="5">
        <f t="shared" si="4"/>
        <v>0.10933237126806716</v>
      </c>
      <c r="H64" s="5">
        <f t="shared" si="2"/>
        <v>9.0425657167325646E-2</v>
      </c>
    </row>
    <row r="65" spans="1:8" x14ac:dyDescent="0.3">
      <c r="A65" s="1">
        <v>63.5</v>
      </c>
      <c r="B65" s="2">
        <v>5.0746829999999995E-4</v>
      </c>
      <c r="C65" s="2">
        <v>5.0745E-4</v>
      </c>
      <c r="D65" s="2">
        <v>5.0801999999999998E-4</v>
      </c>
      <c r="E65" s="2">
        <v>5.0796000000000001E-4</v>
      </c>
      <c r="F65" s="5">
        <f t="shared" si="3"/>
        <v>-3.6061365803474743E-3</v>
      </c>
      <c r="G65" s="5">
        <f t="shared" si="4"/>
        <v>0.10871615034870885</v>
      </c>
      <c r="H65" s="5">
        <f t="shared" si="2"/>
        <v>9.6892751724597659E-2</v>
      </c>
    </row>
    <row r="66" spans="1:8" x14ac:dyDescent="0.3">
      <c r="A66" s="1">
        <v>64.5</v>
      </c>
      <c r="B66" s="2">
        <v>4.416011E-4</v>
      </c>
      <c r="C66" s="2">
        <v>4.4141999999999999E-4</v>
      </c>
      <c r="D66" s="2">
        <v>4.4208000000000002E-4</v>
      </c>
      <c r="E66" s="2">
        <v>4.4199000000000002E-4</v>
      </c>
      <c r="F66" s="5">
        <f t="shared" ref="F66:F81" si="5">100*(C66/B66-1)</f>
        <v>-4.1009861614926812E-2</v>
      </c>
      <c r="G66" s="5">
        <f t="shared" ref="G66:G81" si="6">100*(D66/B66-1)</f>
        <v>0.10844628783759358</v>
      </c>
      <c r="H66" s="5">
        <f t="shared" si="2"/>
        <v>8.8065903821354929E-2</v>
      </c>
    </row>
    <row r="67" spans="1:8" x14ac:dyDescent="0.3">
      <c r="A67" s="1">
        <v>65.5</v>
      </c>
      <c r="B67" s="2">
        <v>3.8337929999999998E-4</v>
      </c>
      <c r="C67" s="2">
        <v>3.8332999999999998E-4</v>
      </c>
      <c r="D67" s="2">
        <v>3.838E-4</v>
      </c>
      <c r="E67" s="2">
        <v>3.8374999999999998E-4</v>
      </c>
      <c r="F67" s="5">
        <f t="shared" si="5"/>
        <v>-1.2859327564118672E-2</v>
      </c>
      <c r="G67" s="5">
        <f t="shared" si="6"/>
        <v>0.10973466746901916</v>
      </c>
      <c r="H67" s="5">
        <f t="shared" ref="H67:H81" si="7">100*(E67/B67-1)</f>
        <v>9.6692753103777562E-2</v>
      </c>
    </row>
    <row r="68" spans="1:8" x14ac:dyDescent="0.3">
      <c r="A68" s="1">
        <v>66.5</v>
      </c>
      <c r="B68" s="2">
        <v>3.320482E-4</v>
      </c>
      <c r="C68" s="2">
        <v>3.3188E-4</v>
      </c>
      <c r="D68" s="2">
        <v>3.3241E-4</v>
      </c>
      <c r="E68" s="2">
        <v>3.3233999999999998E-4</v>
      </c>
      <c r="F68" s="5">
        <f t="shared" si="5"/>
        <v>-5.0655296429857888E-2</v>
      </c>
      <c r="G68" s="5">
        <f t="shared" si="6"/>
        <v>0.10896008471059648</v>
      </c>
      <c r="H68" s="5">
        <f t="shared" si="7"/>
        <v>8.787880795617653E-2</v>
      </c>
    </row>
    <row r="69" spans="1:8" x14ac:dyDescent="0.3">
      <c r="A69" s="1">
        <v>67.5</v>
      </c>
      <c r="B69" s="2">
        <v>2.8691630000000001E-4</v>
      </c>
      <c r="C69" s="2">
        <v>2.8686E-4</v>
      </c>
      <c r="D69" s="2">
        <v>2.8723000000000003E-4</v>
      </c>
      <c r="E69" s="2">
        <v>2.8718999999999999E-4</v>
      </c>
      <c r="F69" s="5">
        <f t="shared" si="5"/>
        <v>-1.9622447382738883E-2</v>
      </c>
      <c r="G69" s="5">
        <f t="shared" si="6"/>
        <v>0.10933502209529156</v>
      </c>
      <c r="H69" s="5">
        <f t="shared" si="7"/>
        <v>9.5393674043608989E-2</v>
      </c>
    </row>
    <row r="70" spans="1:8" x14ac:dyDescent="0.3">
      <c r="A70" s="1">
        <v>68.5</v>
      </c>
      <c r="B70" s="2">
        <v>2.4734829999999998E-4</v>
      </c>
      <c r="C70" s="2">
        <v>2.4719E-4</v>
      </c>
      <c r="D70" s="2">
        <v>2.4761999999999999E-4</v>
      </c>
      <c r="E70" s="2">
        <v>2.4756000000000002E-4</v>
      </c>
      <c r="F70" s="5">
        <f t="shared" si="5"/>
        <v>-6.3998822712740822E-2</v>
      </c>
      <c r="G70" s="5">
        <f t="shared" si="6"/>
        <v>0.10984510506035772</v>
      </c>
      <c r="H70" s="5">
        <f t="shared" si="7"/>
        <v>8.5587812812959463E-2</v>
      </c>
    </row>
    <row r="71" spans="1:8" x14ac:dyDescent="0.3">
      <c r="A71" s="1">
        <v>69.5</v>
      </c>
      <c r="B71" s="2">
        <v>2.127605E-4</v>
      </c>
      <c r="C71" s="2">
        <v>2.1269999999999999E-4</v>
      </c>
      <c r="D71" s="2">
        <v>2.1299000000000001E-4</v>
      </c>
      <c r="E71" s="2">
        <v>2.1295999999999999E-4</v>
      </c>
      <c r="F71" s="5">
        <f t="shared" si="5"/>
        <v>-2.8435729376463659E-2</v>
      </c>
      <c r="G71" s="5">
        <f t="shared" si="6"/>
        <v>0.10786776680822285</v>
      </c>
      <c r="H71" s="5">
        <f t="shared" si="7"/>
        <v>9.3767405133937665E-2</v>
      </c>
    </row>
    <row r="72" spans="1:8" x14ac:dyDescent="0.3">
      <c r="A72" s="1">
        <v>70.5</v>
      </c>
      <c r="B72" s="2">
        <v>1.8261699999999999E-4</v>
      </c>
      <c r="C72" s="2">
        <v>1.8247000000000001E-4</v>
      </c>
      <c r="D72" s="2">
        <v>1.8281999999999999E-4</v>
      </c>
      <c r="E72" s="2">
        <v>1.8276999999999999E-4</v>
      </c>
      <c r="F72" s="5">
        <f t="shared" si="5"/>
        <v>-8.0496339333135936E-2</v>
      </c>
      <c r="G72" s="5">
        <f t="shared" si="6"/>
        <v>0.11116161146005332</v>
      </c>
      <c r="H72" s="5">
        <f t="shared" si="7"/>
        <v>8.3781904203883428E-2</v>
      </c>
    </row>
    <row r="73" spans="1:8" x14ac:dyDescent="0.3">
      <c r="A73" s="1">
        <v>71.5</v>
      </c>
      <c r="B73" s="2">
        <v>1.5642539999999999E-4</v>
      </c>
      <c r="C73" s="2">
        <v>1.5636E-4</v>
      </c>
      <c r="D73" s="2">
        <v>1.5660000000000001E-4</v>
      </c>
      <c r="E73" s="2">
        <v>1.5657E-4</v>
      </c>
      <c r="F73" s="5">
        <f t="shared" si="5"/>
        <v>-4.1809066813958129E-2</v>
      </c>
      <c r="G73" s="5">
        <f t="shared" si="6"/>
        <v>0.11161870131066731</v>
      </c>
      <c r="H73" s="5">
        <f t="shared" si="7"/>
        <v>9.2440230295087744E-2</v>
      </c>
    </row>
    <row r="74" spans="1:8" x14ac:dyDescent="0.3">
      <c r="A74" s="1">
        <v>72.5</v>
      </c>
      <c r="B74" s="2">
        <v>1.337303E-4</v>
      </c>
      <c r="C74" s="2">
        <v>1.3360999999999999E-4</v>
      </c>
      <c r="D74" s="2">
        <v>1.3388000000000001E-4</v>
      </c>
      <c r="E74" s="2">
        <v>1.3384000000000001E-4</v>
      </c>
      <c r="F74" s="5">
        <f t="shared" si="5"/>
        <v>-8.9957175000743295E-2</v>
      </c>
      <c r="G74" s="5">
        <f t="shared" si="6"/>
        <v>0.11194172150963411</v>
      </c>
      <c r="H74" s="5">
        <f t="shared" si="7"/>
        <v>8.2030773878472019E-2</v>
      </c>
    </row>
    <row r="75" spans="1:8" x14ac:dyDescent="0.3">
      <c r="A75" s="1">
        <v>73.5</v>
      </c>
      <c r="B75" s="2">
        <v>1.1416020000000001E-4</v>
      </c>
      <c r="C75" s="2">
        <v>1.1411E-4</v>
      </c>
      <c r="D75" s="2">
        <v>1.1428E-4</v>
      </c>
      <c r="E75" s="2">
        <v>1.1427E-4</v>
      </c>
      <c r="F75" s="5">
        <f t="shared" si="5"/>
        <v>-4.3973293669774538E-2</v>
      </c>
      <c r="G75" s="5">
        <f t="shared" si="6"/>
        <v>0.1049402506302366</v>
      </c>
      <c r="H75" s="5">
        <f t="shared" si="7"/>
        <v>9.6180630377307175E-2</v>
      </c>
    </row>
    <row r="76" spans="1:8" x14ac:dyDescent="0.3">
      <c r="A76" s="1">
        <v>74.5</v>
      </c>
      <c r="B76" s="2">
        <v>9.7331570000000006E-5</v>
      </c>
      <c r="C76" s="2">
        <v>9.7232999999999996E-5</v>
      </c>
      <c r="D76" s="2">
        <v>9.7437999999999998E-5</v>
      </c>
      <c r="E76" s="2">
        <v>9.7410000000000004E-5</v>
      </c>
      <c r="F76" s="5">
        <f t="shared" si="5"/>
        <v>-0.10127238264009408</v>
      </c>
      <c r="G76" s="5">
        <f t="shared" si="6"/>
        <v>0.10934787140493007</v>
      </c>
      <c r="H76" s="5">
        <f t="shared" si="7"/>
        <v>8.0580226949988898E-2</v>
      </c>
    </row>
    <row r="77" spans="1:8" x14ac:dyDescent="0.3">
      <c r="A77" s="1">
        <v>75.5</v>
      </c>
      <c r="B77" s="2">
        <v>8.289367E-5</v>
      </c>
      <c r="C77" s="2">
        <v>8.2850999999999997E-5</v>
      </c>
      <c r="D77" s="2">
        <v>8.2984000000000004E-5</v>
      </c>
      <c r="E77" s="2">
        <v>8.2971000000000002E-5</v>
      </c>
      <c r="F77" s="5">
        <f t="shared" si="5"/>
        <v>-5.1475583117510659E-2</v>
      </c>
      <c r="G77" s="5">
        <f t="shared" si="6"/>
        <v>0.10897092624804205</v>
      </c>
      <c r="H77" s="5">
        <f t="shared" si="7"/>
        <v>9.3288184731110668E-2</v>
      </c>
    </row>
    <row r="78" spans="1:8" x14ac:dyDescent="0.3">
      <c r="A78" s="1">
        <v>76.5</v>
      </c>
      <c r="B78" s="2">
        <v>7.0535620000000004E-5</v>
      </c>
      <c r="C78" s="2">
        <v>7.0458999999999997E-5</v>
      </c>
      <c r="D78" s="2">
        <v>7.0612999999999996E-5</v>
      </c>
      <c r="E78" s="2">
        <v>7.0592000000000004E-5</v>
      </c>
      <c r="F78" s="5">
        <f t="shared" si="5"/>
        <v>-0.10862596798610902</v>
      </c>
      <c r="G78" s="5">
        <f t="shared" si="6"/>
        <v>0.10970343778078373</v>
      </c>
      <c r="H78" s="5">
        <f t="shared" si="7"/>
        <v>7.9931246085318541E-2</v>
      </c>
    </row>
    <row r="79" spans="1:8" x14ac:dyDescent="0.3">
      <c r="A79" s="1">
        <v>77.5</v>
      </c>
      <c r="B79" s="2">
        <v>5.99777E-5</v>
      </c>
      <c r="C79" s="2">
        <v>5.9945999999999998E-5</v>
      </c>
      <c r="D79" s="2">
        <v>6.0043000000000001E-5</v>
      </c>
      <c r="E79" s="2">
        <v>6.0034000000000002E-5</v>
      </c>
      <c r="F79" s="5">
        <f t="shared" si="5"/>
        <v>-5.2852977023132297E-2</v>
      </c>
      <c r="G79" s="5">
        <f t="shared" si="6"/>
        <v>0.10887379809496611</v>
      </c>
      <c r="H79" s="5">
        <f t="shared" si="7"/>
        <v>9.3868221022153087E-2</v>
      </c>
    </row>
    <row r="80" spans="1:8" x14ac:dyDescent="0.3">
      <c r="A80" s="1">
        <v>78.5</v>
      </c>
      <c r="B80" s="2">
        <v>5.0971219999999999E-5</v>
      </c>
      <c r="C80" s="2">
        <v>5.0914000000000001E-5</v>
      </c>
      <c r="D80" s="2">
        <v>5.1026999999999998E-5</v>
      </c>
      <c r="E80" s="2">
        <v>5.1010999999999997E-5</v>
      </c>
      <c r="F80" s="5">
        <f t="shared" si="5"/>
        <v>-0.11225942796738719</v>
      </c>
      <c r="G80" s="5">
        <f t="shared" si="6"/>
        <v>0.10943430429957157</v>
      </c>
      <c r="H80" s="5">
        <f t="shared" si="7"/>
        <v>7.8044041323699354E-2</v>
      </c>
    </row>
    <row r="81" spans="1:8" x14ac:dyDescent="0.3">
      <c r="A81" s="1">
        <v>79.5</v>
      </c>
      <c r="B81" s="2">
        <v>4.3297480000000002E-5</v>
      </c>
      <c r="C81" s="2">
        <v>4.3275000000000002E-5</v>
      </c>
      <c r="D81" s="2">
        <v>4.3344999999999999E-5</v>
      </c>
      <c r="E81" s="2">
        <v>4.3337999999999997E-5</v>
      </c>
      <c r="F81" s="5">
        <f t="shared" si="5"/>
        <v>-5.1919880787520967E-2</v>
      </c>
      <c r="G81" s="5">
        <f t="shared" si="6"/>
        <v>0.1097523458640115</v>
      </c>
      <c r="H81" s="5">
        <f t="shared" si="7"/>
        <v>9.3585123198836051E-2</v>
      </c>
    </row>
    <row r="82" spans="1:8" x14ac:dyDescent="0.3">
      <c r="A82" s="1" t="s">
        <v>2</v>
      </c>
      <c r="F82" s="3" cm="1">
        <f t="array" ref="F82">MAX(ABS(F2:F81))</f>
        <v>1.2237238975636222</v>
      </c>
      <c r="G82" s="3" cm="1">
        <f t="array" ref="G82">MAX(ABS(G2:G81))</f>
        <v>0.11828809078973102</v>
      </c>
      <c r="H82" s="3" cm="1">
        <f t="array" ref="H82">MAX(ABS(H2:H81))</f>
        <v>0.10026107031839704</v>
      </c>
    </row>
    <row r="83" spans="1:8" x14ac:dyDescent="0.3">
      <c r="A83" s="1" t="s">
        <v>3</v>
      </c>
      <c r="F83" s="3" cm="1">
        <f t="array" ref="F83">AVERAGE(ABS(F2:F81))</f>
        <v>0.30853440157887213</v>
      </c>
      <c r="G83" s="3" cm="1">
        <f t="array" ref="G83">AVERAGE(ABS(G2:G81))</f>
        <v>0.10175195223206146</v>
      </c>
      <c r="H83" s="3" cm="1">
        <f t="array" ref="H83">AVERAGE(ABS(H2:H81))</f>
        <v>7.6181079764559012E-2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Korkin, Sergey V. (GSFC-613.0)[UNIVERSITY OF MARYLAND </cp:lastModifiedBy>
  <dcterms:created xsi:type="dcterms:W3CDTF">2026-01-15T16:11:45Z</dcterms:created>
  <dcterms:modified xsi:type="dcterms:W3CDTF">2026-01-19T15:15:15Z</dcterms:modified>
</cp:coreProperties>
</file>