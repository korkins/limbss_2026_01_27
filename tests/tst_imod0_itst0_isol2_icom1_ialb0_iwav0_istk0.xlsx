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_conf_pubs_works\2026\01_limb_rtm\src_python\tests\"/>
    </mc:Choice>
  </mc:AlternateContent>
  <xr:revisionPtr revIDLastSave="0" documentId="13_ncr:1_{C0CE04FD-EE43-4048-9BDB-77A69E8B273E}" xr6:coauthVersionLast="47" xr6:coauthVersionMax="47" xr10:uidLastSave="{00000000-0000-0000-0000-000000000000}"/>
  <bookViews>
    <workbookView xWindow="0" yWindow="360" windowWidth="23256" windowHeight="12456" xr2:uid="{8B828620-8A12-4B21-88D4-44FABB81912A}"/>
  </bookViews>
  <sheets>
    <sheet name="I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H82" i="1" l="1" a="1"/>
  <c r="H82" i="1" s="1"/>
  <c r="H83" i="1" a="1"/>
  <c r="H83" i="1" s="1"/>
  <c r="F82" i="1" a="1"/>
  <c r="F82" i="1" s="1"/>
  <c r="F83" i="1" a="1"/>
  <c r="F83" i="1" s="1"/>
  <c r="G82" i="1" a="1"/>
  <c r="G82" i="1" s="1"/>
  <c r="G83" i="1" a="1"/>
  <c r="G8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<sst xmlns="http://schemas.openxmlformats.org/spreadsheetml/2006/main" count="10" uniqueCount="10">
  <si>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hkm_tp</t>
  </si>
  <si>
    <t>DZ</t>
  </si>
  <si>
    <t>MAX</t>
  </si>
  <si>
    <t>AVR</t>
  </si>
  <si>
    <t>SK(0pnts)</t>
  </si>
  <si>
    <t>SK(1pnt)</t>
  </si>
  <si>
    <t>Rerr_1pnt</t>
  </si>
  <si>
    <t>Rerr_0pnt</t>
  </si>
  <si>
    <t>SK(2pnts)</t>
  </si>
  <si>
    <t>Rerr_2pnt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</si>
</sst>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(SK/DZ - 1)*100%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Iss!$G$2:$G$81</c:f>
              <c:numCache>
                <c:formatCode>0.00</c:formatCode>
                <c:ptCount val="80"/>
                <c:pt idx="0">
                  <c:v>9.2094768672867922E-2</c:v>
                </c:pt>
                <c:pt idx="1">
                  <c:v>9.1936826266536542E-2</c:v>
                </c:pt>
                <c:pt idx="2">
                  <c:v>8.9673358134101377E-2</c:v>
                </c:pt>
                <c:pt idx="3">
                  <c:v>9.1802055263556781E-2</c:v>
                </c:pt>
                <c:pt idx="4">
                  <c:v>9.0591969480646739E-2</c:v>
                </c:pt>
                <c:pt idx="5">
                  <c:v>9.2388670253562566E-2</c:v>
                </c:pt>
                <c:pt idx="6">
                  <c:v>9.290017943541784E-2</c:v>
                </c:pt>
                <c:pt idx="7">
                  <c:v>9.14544719991639E-2</c:v>
                </c:pt>
                <c:pt idx="8">
                  <c:v>9.4033773739732318E-2</c:v>
                </c:pt>
                <c:pt idx="9">
                  <c:v>9.2874260015118892E-2</c:v>
                </c:pt>
                <c:pt idx="10">
                  <c:v>9.388688296227965E-2</c:v>
                </c:pt>
                <c:pt idx="11">
                  <c:v>9.2571945970432168E-2</c:v>
                </c:pt>
                <c:pt idx="12">
                  <c:v>9.4578347433915688E-2</c:v>
                </c:pt>
                <c:pt idx="13">
                  <c:v>9.5338424721003179E-2</c:v>
                </c:pt>
                <c:pt idx="14">
                  <c:v>9.3482441306713682E-2</c:v>
                </c:pt>
                <c:pt idx="15">
                  <c:v>9.4262122424915162E-2</c:v>
                </c:pt>
                <c:pt idx="16">
                  <c:v>9.6085967526859939E-2</c:v>
                </c:pt>
                <c:pt idx="17">
                  <c:v>9.7209477988990933E-2</c:v>
                </c:pt>
                <c:pt idx="18">
                  <c:v>9.5777111782258118E-2</c:v>
                </c:pt>
                <c:pt idx="19">
                  <c:v>9.6255002895317965E-2</c:v>
                </c:pt>
                <c:pt idx="20">
                  <c:v>9.6282396236468948E-2</c:v>
                </c:pt>
                <c:pt idx="21">
                  <c:v>9.6590773317317691E-2</c:v>
                </c:pt>
                <c:pt idx="22">
                  <c:v>9.7513164900764338E-2</c:v>
                </c:pt>
                <c:pt idx="23">
                  <c:v>9.9060868361511289E-2</c:v>
                </c:pt>
                <c:pt idx="24">
                  <c:v>9.7783312913346521E-2</c:v>
                </c:pt>
                <c:pt idx="25">
                  <c:v>9.9031696813800529E-2</c:v>
                </c:pt>
                <c:pt idx="26">
                  <c:v>0.10131712259371373</c:v>
                </c:pt>
                <c:pt idx="27">
                  <c:v>9.9728383494124273E-2</c:v>
                </c:pt>
                <c:pt idx="28">
                  <c:v>0.10334442784887266</c:v>
                </c:pt>
                <c:pt idx="29">
                  <c:v>0.10257172976719797</c:v>
                </c:pt>
                <c:pt idx="30">
                  <c:v>0.1042687027142275</c:v>
                </c:pt>
                <c:pt idx="31">
                  <c:v>0.10513220871153361</c:v>
                </c:pt>
                <c:pt idx="32">
                  <c:v>0.10568341944574566</c:v>
                </c:pt>
                <c:pt idx="33">
                  <c:v>0.10699467341819258</c:v>
                </c:pt>
                <c:pt idx="34">
                  <c:v>0.10963742558620648</c:v>
                </c:pt>
                <c:pt idx="35">
                  <c:v>0.11814106213727804</c:v>
                </c:pt>
                <c:pt idx="36">
                  <c:v>0.13074220800841641</c:v>
                </c:pt>
                <c:pt idx="37">
                  <c:v>0.14936179555373741</c:v>
                </c:pt>
                <c:pt idx="38">
                  <c:v>0.16727726143082045</c:v>
                </c:pt>
                <c:pt idx="39">
                  <c:v>0.17080665479067836</c:v>
                </c:pt>
                <c:pt idx="40">
                  <c:v>0.16344713014520007</c:v>
                </c:pt>
                <c:pt idx="41">
                  <c:v>0.15054006334696002</c:v>
                </c:pt>
                <c:pt idx="42">
                  <c:v>0.1453679804494401</c:v>
                </c:pt>
                <c:pt idx="43">
                  <c:v>0.13744946189104823</c:v>
                </c:pt>
                <c:pt idx="44">
                  <c:v>0.15277682595635778</c:v>
                </c:pt>
                <c:pt idx="45">
                  <c:v>0.16280390881777684</c:v>
                </c:pt>
                <c:pt idx="46">
                  <c:v>0.15934083625275264</c:v>
                </c:pt>
                <c:pt idx="47">
                  <c:v>0.15646220466565275</c:v>
                </c:pt>
                <c:pt idx="48">
                  <c:v>0.15972751971977672</c:v>
                </c:pt>
                <c:pt idx="49">
                  <c:v>0.16041143598608532</c:v>
                </c:pt>
                <c:pt idx="50">
                  <c:v>0.15289263675632991</c:v>
                </c:pt>
                <c:pt idx="51">
                  <c:v>0.14622201467031637</c:v>
                </c:pt>
                <c:pt idx="52">
                  <c:v>0.14245534912966651</c:v>
                </c:pt>
                <c:pt idx="53">
                  <c:v>0.13660569286382263</c:v>
                </c:pt>
                <c:pt idx="54">
                  <c:v>0.13111048103655598</c:v>
                </c:pt>
                <c:pt idx="55">
                  <c:v>0.12542446380818806</c:v>
                </c:pt>
                <c:pt idx="56">
                  <c:v>0.12224894813808174</c:v>
                </c:pt>
                <c:pt idx="57">
                  <c:v>0.1188164257172275</c:v>
                </c:pt>
                <c:pt idx="58">
                  <c:v>0.12102407978606955</c:v>
                </c:pt>
                <c:pt idx="59">
                  <c:v>0.11727324303112407</c:v>
                </c:pt>
                <c:pt idx="60">
                  <c:v>0.11471105559663908</c:v>
                </c:pt>
                <c:pt idx="61">
                  <c:v>0.11658475781013422</c:v>
                </c:pt>
                <c:pt idx="62">
                  <c:v>0.11728921429294825</c:v>
                </c:pt>
                <c:pt idx="63">
                  <c:v>0.11341175910271062</c:v>
                </c:pt>
                <c:pt idx="64">
                  <c:v>0.11553100876096067</c:v>
                </c:pt>
                <c:pt idx="65">
                  <c:v>0.11507816823668193</c:v>
                </c:pt>
                <c:pt idx="66">
                  <c:v>0.1124733002318079</c:v>
                </c:pt>
                <c:pt idx="67">
                  <c:v>0.11216849797364148</c:v>
                </c:pt>
                <c:pt idx="68">
                  <c:v>0.11120963354014357</c:v>
                </c:pt>
                <c:pt idx="69">
                  <c:v>0.11100762187195024</c:v>
                </c:pt>
                <c:pt idx="70">
                  <c:v>0.11020897457720835</c:v>
                </c:pt>
                <c:pt idx="71">
                  <c:v>0.11076023607996532</c:v>
                </c:pt>
                <c:pt idx="72">
                  <c:v>0.11087721553566521</c:v>
                </c:pt>
                <c:pt idx="73">
                  <c:v>0.10988501167790155</c:v>
                </c:pt>
                <c:pt idx="74">
                  <c:v>0.10769708928741739</c:v>
                </c:pt>
                <c:pt idx="75">
                  <c:v>0.11115522387126209</c:v>
                </c:pt>
                <c:pt idx="76">
                  <c:v>0.11098371451736533</c:v>
                </c:pt>
                <c:pt idx="77">
                  <c:v>0.10940210177912135</c:v>
                </c:pt>
                <c:pt idx="78">
                  <c:v>0.11035444104023906</c:v>
                </c:pt>
                <c:pt idx="79">
                  <c:v>0.1129839207300698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5-4407-9748-092E351DD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Error,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(SK/DZ - 1)*100%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0 extra points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Iss!$F$2:$F$81</c:f>
              <c:numCache>
                <c:formatCode>0.00</c:formatCode>
                <c:ptCount val="80"/>
                <c:pt idx="0">
                  <c:v>0.92410358222829725</c:v>
                </c:pt>
                <c:pt idx="1">
                  <c:v>0.92707725120311224</c:v>
                </c:pt>
                <c:pt idx="2">
                  <c:v>0.93135992755102315</c:v>
                </c:pt>
                <c:pt idx="3">
                  <c:v>0.93632442662585635</c:v>
                </c:pt>
                <c:pt idx="4">
                  <c:v>0.94131981636933482</c:v>
                </c:pt>
                <c:pt idx="5">
                  <c:v>0.94563755526009263</c:v>
                </c:pt>
                <c:pt idx="6">
                  <c:v>0.95199206713856288</c:v>
                </c:pt>
                <c:pt idx="7">
                  <c:v>0.95619040239969255</c:v>
                </c:pt>
                <c:pt idx="8">
                  <c:v>0.96420732005120247</c:v>
                </c:pt>
                <c:pt idx="9">
                  <c:v>0.9682722925580256</c:v>
                </c:pt>
                <c:pt idx="10">
                  <c:v>0.97428886294894657</c:v>
                </c:pt>
                <c:pt idx="11">
                  <c:v>0.98112748575946984</c:v>
                </c:pt>
                <c:pt idx="12">
                  <c:v>0.98765042472963582</c:v>
                </c:pt>
                <c:pt idx="13">
                  <c:v>0.99268049084944021</c:v>
                </c:pt>
                <c:pt idx="14">
                  <c:v>1.0014650332258679</c:v>
                </c:pt>
                <c:pt idx="15">
                  <c:v>1.0059453595652412</c:v>
                </c:pt>
                <c:pt idx="16">
                  <c:v>1.0144586503516573</c:v>
                </c:pt>
                <c:pt idx="17">
                  <c:v>1.021932482890997</c:v>
                </c:pt>
                <c:pt idx="18">
                  <c:v>1.029716668502334</c:v>
                </c:pt>
                <c:pt idx="19">
                  <c:v>1.0389915850373965</c:v>
                </c:pt>
                <c:pt idx="20">
                  <c:v>1.0473762016673938</c:v>
                </c:pt>
                <c:pt idx="21">
                  <c:v>1.0587254294076143</c:v>
                </c:pt>
                <c:pt idx="22">
                  <c:v>1.0670334425264771</c:v>
                </c:pt>
                <c:pt idx="23">
                  <c:v>1.0785460608319086</c:v>
                </c:pt>
                <c:pt idx="24">
                  <c:v>1.0866377296637308</c:v>
                </c:pt>
                <c:pt idx="25">
                  <c:v>1.0996581496172997</c:v>
                </c:pt>
                <c:pt idx="26">
                  <c:v>1.112987354122108</c:v>
                </c:pt>
                <c:pt idx="27">
                  <c:v>1.1246402782056464</c:v>
                </c:pt>
                <c:pt idx="28">
                  <c:v>1.1376702340132772</c:v>
                </c:pt>
                <c:pt idx="29">
                  <c:v>1.1541425645372527</c:v>
                </c:pt>
                <c:pt idx="30">
                  <c:v>1.1690550695454771</c:v>
                </c:pt>
                <c:pt idx="31">
                  <c:v>1.1847918183904849</c:v>
                </c:pt>
                <c:pt idx="32">
                  <c:v>1.2016596211053665</c:v>
                </c:pt>
                <c:pt idx="33">
                  <c:v>1.2094642604165484</c:v>
                </c:pt>
                <c:pt idx="34">
                  <c:v>1.2361422935802002</c:v>
                </c:pt>
                <c:pt idx="35">
                  <c:v>1.2424038822050232</c:v>
                </c:pt>
                <c:pt idx="36">
                  <c:v>1.2642086711758704</c:v>
                </c:pt>
                <c:pt idx="37">
                  <c:v>1.3436384306896088</c:v>
                </c:pt>
                <c:pt idx="38">
                  <c:v>1.3138749407171302</c:v>
                </c:pt>
                <c:pt idx="39">
                  <c:v>1.4824324580384296</c:v>
                </c:pt>
                <c:pt idx="40">
                  <c:v>1.4564657395563563</c:v>
                </c:pt>
                <c:pt idx="41">
                  <c:v>1.4864062856216664</c:v>
                </c:pt>
                <c:pt idx="42">
                  <c:v>1.4825476806304971</c:v>
                </c:pt>
                <c:pt idx="43">
                  <c:v>1.2794564132938113</c:v>
                </c:pt>
                <c:pt idx="44">
                  <c:v>1.25631454427515</c:v>
                </c:pt>
                <c:pt idx="45">
                  <c:v>1.0210385802552624</c:v>
                </c:pt>
                <c:pt idx="46">
                  <c:v>0.90735535833625924</c:v>
                </c:pt>
                <c:pt idx="47">
                  <c:v>0.73118951603869942</c:v>
                </c:pt>
                <c:pt idx="48">
                  <c:v>0.63834123470962734</c:v>
                </c:pt>
                <c:pt idx="49">
                  <c:v>0.52931162623031103</c:v>
                </c:pt>
                <c:pt idx="50">
                  <c:v>0.42743797823148189</c:v>
                </c:pt>
                <c:pt idx="51">
                  <c:v>0.35401694950474294</c:v>
                </c:pt>
                <c:pt idx="52">
                  <c:v>0.27515603388847953</c:v>
                </c:pt>
                <c:pt idx="53">
                  <c:v>0.23677485353388317</c:v>
                </c:pt>
                <c:pt idx="54">
                  <c:v>0.17188711830689041</c:v>
                </c:pt>
                <c:pt idx="55">
                  <c:v>0.16111556093170165</c:v>
                </c:pt>
                <c:pt idx="56">
                  <c:v>0.10586608186387014</c:v>
                </c:pt>
                <c:pt idx="57">
                  <c:v>0.10792249915390073</c:v>
                </c:pt>
                <c:pt idx="58">
                  <c:v>6.8422507160903479E-2</c:v>
                </c:pt>
                <c:pt idx="59">
                  <c:v>7.6490430539633003E-2</c:v>
                </c:pt>
                <c:pt idx="60">
                  <c:v>3.313874939459005E-2</c:v>
                </c:pt>
                <c:pt idx="61">
                  <c:v>5.3223476391583979E-2</c:v>
                </c:pt>
                <c:pt idx="62">
                  <c:v>1.2741725229581391E-2</c:v>
                </c:pt>
                <c:pt idx="63">
                  <c:v>3.1552877860585582E-2</c:v>
                </c:pt>
                <c:pt idx="64">
                  <c:v>-1.2080562035388098E-2</c:v>
                </c:pt>
                <c:pt idx="65">
                  <c:v>7.7109205179892726E-3</c:v>
                </c:pt>
                <c:pt idx="66">
                  <c:v>-3.3595920848461525E-2</c:v>
                </c:pt>
                <c:pt idx="67">
                  <c:v>-7.2011007952954564E-3</c:v>
                </c:pt>
                <c:pt idx="68">
                  <c:v>-5.5582277322663298E-2</c:v>
                </c:pt>
                <c:pt idx="69">
                  <c:v>-2.3346148705560843E-2</c:v>
                </c:pt>
                <c:pt idx="70">
                  <c:v>-7.2592494496637183E-2</c:v>
                </c:pt>
                <c:pt idx="71">
                  <c:v>-3.6161771557130518E-2</c:v>
                </c:pt>
                <c:pt idx="72">
                  <c:v>-9.1372577920201259E-2</c:v>
                </c:pt>
                <c:pt idx="73">
                  <c:v>-4.2597880228256724E-2</c:v>
                </c:pt>
                <c:pt idx="74">
                  <c:v>-0.10153427457013642</c:v>
                </c:pt>
                <c:pt idx="75">
                  <c:v>-4.9615690526716438E-2</c:v>
                </c:pt>
                <c:pt idx="76">
                  <c:v>-0.10940947743199869</c:v>
                </c:pt>
                <c:pt idx="77">
                  <c:v>-5.10296323583459E-2</c:v>
                </c:pt>
                <c:pt idx="78">
                  <c:v>-0.11471053739707804</c:v>
                </c:pt>
                <c:pt idx="79">
                  <c:v>-4.9398416173973558E-2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F-4E25-93D0-23AE8406943F}"/>
            </c:ext>
          </c:extLst>
        </c:ser>
        <c:ser>
          <c:idx val="0"/>
          <c:order val="1"/>
          <c:tx>
            <c:v>1 extra point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Iss!$G$2:$G$81</c:f>
              <c:numCache>
                <c:formatCode>0.00</c:formatCode>
                <c:ptCount val="80"/>
                <c:pt idx="0">
                  <c:v>9.2094768672867922E-2</c:v>
                </c:pt>
                <c:pt idx="1">
                  <c:v>9.1936826266536542E-2</c:v>
                </c:pt>
                <c:pt idx="2">
                  <c:v>8.9673358134101377E-2</c:v>
                </c:pt>
                <c:pt idx="3">
                  <c:v>9.1802055263556781E-2</c:v>
                </c:pt>
                <c:pt idx="4">
                  <c:v>9.0591969480646739E-2</c:v>
                </c:pt>
                <c:pt idx="5">
                  <c:v>9.2388670253562566E-2</c:v>
                </c:pt>
                <c:pt idx="6">
                  <c:v>9.290017943541784E-2</c:v>
                </c:pt>
                <c:pt idx="7">
                  <c:v>9.14544719991639E-2</c:v>
                </c:pt>
                <c:pt idx="8">
                  <c:v>9.4033773739732318E-2</c:v>
                </c:pt>
                <c:pt idx="9">
                  <c:v>9.2874260015118892E-2</c:v>
                </c:pt>
                <c:pt idx="10">
                  <c:v>9.388688296227965E-2</c:v>
                </c:pt>
                <c:pt idx="11">
                  <c:v>9.2571945970432168E-2</c:v>
                </c:pt>
                <c:pt idx="12">
                  <c:v>9.4578347433915688E-2</c:v>
                </c:pt>
                <c:pt idx="13">
                  <c:v>9.5338424721003179E-2</c:v>
                </c:pt>
                <c:pt idx="14">
                  <c:v>9.3482441306713682E-2</c:v>
                </c:pt>
                <c:pt idx="15">
                  <c:v>9.4262122424915162E-2</c:v>
                </c:pt>
                <c:pt idx="16">
                  <c:v>9.6085967526859939E-2</c:v>
                </c:pt>
                <c:pt idx="17">
                  <c:v>9.7209477988990933E-2</c:v>
                </c:pt>
                <c:pt idx="18">
                  <c:v>9.5777111782258118E-2</c:v>
                </c:pt>
                <c:pt idx="19">
                  <c:v>9.6255002895317965E-2</c:v>
                </c:pt>
                <c:pt idx="20">
                  <c:v>9.6282396236468948E-2</c:v>
                </c:pt>
                <c:pt idx="21">
                  <c:v>9.6590773317317691E-2</c:v>
                </c:pt>
                <c:pt idx="22">
                  <c:v>9.7513164900764338E-2</c:v>
                </c:pt>
                <c:pt idx="23">
                  <c:v>9.9060868361511289E-2</c:v>
                </c:pt>
                <c:pt idx="24">
                  <c:v>9.7783312913346521E-2</c:v>
                </c:pt>
                <c:pt idx="25">
                  <c:v>9.9031696813800529E-2</c:v>
                </c:pt>
                <c:pt idx="26">
                  <c:v>0.10131712259371373</c:v>
                </c:pt>
                <c:pt idx="27">
                  <c:v>9.9728383494124273E-2</c:v>
                </c:pt>
                <c:pt idx="28">
                  <c:v>0.10334442784887266</c:v>
                </c:pt>
                <c:pt idx="29">
                  <c:v>0.10257172976719797</c:v>
                </c:pt>
                <c:pt idx="30">
                  <c:v>0.1042687027142275</c:v>
                </c:pt>
                <c:pt idx="31">
                  <c:v>0.10513220871153361</c:v>
                </c:pt>
                <c:pt idx="32">
                  <c:v>0.10568341944574566</c:v>
                </c:pt>
                <c:pt idx="33">
                  <c:v>0.10699467341819258</c:v>
                </c:pt>
                <c:pt idx="34">
                  <c:v>0.10963742558620648</c:v>
                </c:pt>
                <c:pt idx="35">
                  <c:v>0.11814106213727804</c:v>
                </c:pt>
                <c:pt idx="36">
                  <c:v>0.13074220800841641</c:v>
                </c:pt>
                <c:pt idx="37">
                  <c:v>0.14936179555373741</c:v>
                </c:pt>
                <c:pt idx="38">
                  <c:v>0.16727726143082045</c:v>
                </c:pt>
                <c:pt idx="39">
                  <c:v>0.17080665479067836</c:v>
                </c:pt>
                <c:pt idx="40">
                  <c:v>0.16344713014520007</c:v>
                </c:pt>
                <c:pt idx="41">
                  <c:v>0.15054006334696002</c:v>
                </c:pt>
                <c:pt idx="42">
                  <c:v>0.1453679804494401</c:v>
                </c:pt>
                <c:pt idx="43">
                  <c:v>0.13744946189104823</c:v>
                </c:pt>
                <c:pt idx="44">
                  <c:v>0.15277682595635778</c:v>
                </c:pt>
                <c:pt idx="45">
                  <c:v>0.16280390881777684</c:v>
                </c:pt>
                <c:pt idx="46">
                  <c:v>0.15934083625275264</c:v>
                </c:pt>
                <c:pt idx="47">
                  <c:v>0.15646220466565275</c:v>
                </c:pt>
                <c:pt idx="48">
                  <c:v>0.15972751971977672</c:v>
                </c:pt>
                <c:pt idx="49">
                  <c:v>0.16041143598608532</c:v>
                </c:pt>
                <c:pt idx="50">
                  <c:v>0.15289263675632991</c:v>
                </c:pt>
                <c:pt idx="51">
                  <c:v>0.14622201467031637</c:v>
                </c:pt>
                <c:pt idx="52">
                  <c:v>0.14245534912966651</c:v>
                </c:pt>
                <c:pt idx="53">
                  <c:v>0.13660569286382263</c:v>
                </c:pt>
                <c:pt idx="54">
                  <c:v>0.13111048103655598</c:v>
                </c:pt>
                <c:pt idx="55">
                  <c:v>0.12542446380818806</c:v>
                </c:pt>
                <c:pt idx="56">
                  <c:v>0.12224894813808174</c:v>
                </c:pt>
                <c:pt idx="57">
                  <c:v>0.1188164257172275</c:v>
                </c:pt>
                <c:pt idx="58">
                  <c:v>0.12102407978606955</c:v>
                </c:pt>
                <c:pt idx="59">
                  <c:v>0.11727324303112407</c:v>
                </c:pt>
                <c:pt idx="60">
                  <c:v>0.11471105559663908</c:v>
                </c:pt>
                <c:pt idx="61">
                  <c:v>0.11658475781013422</c:v>
                </c:pt>
                <c:pt idx="62">
                  <c:v>0.11728921429294825</c:v>
                </c:pt>
                <c:pt idx="63">
                  <c:v>0.11341175910271062</c:v>
                </c:pt>
                <c:pt idx="64">
                  <c:v>0.11553100876096067</c:v>
                </c:pt>
                <c:pt idx="65">
                  <c:v>0.11507816823668193</c:v>
                </c:pt>
                <c:pt idx="66">
                  <c:v>0.1124733002318079</c:v>
                </c:pt>
                <c:pt idx="67">
                  <c:v>0.11216849797364148</c:v>
                </c:pt>
                <c:pt idx="68">
                  <c:v>0.11120963354014357</c:v>
                </c:pt>
                <c:pt idx="69">
                  <c:v>0.11100762187195024</c:v>
                </c:pt>
                <c:pt idx="70">
                  <c:v>0.11020897457720835</c:v>
                </c:pt>
                <c:pt idx="71">
                  <c:v>0.11076023607996532</c:v>
                </c:pt>
                <c:pt idx="72">
                  <c:v>0.11087721553566521</c:v>
                </c:pt>
                <c:pt idx="73">
                  <c:v>0.10988501167790155</c:v>
                </c:pt>
                <c:pt idx="74">
                  <c:v>0.10769708928741739</c:v>
                </c:pt>
                <c:pt idx="75">
                  <c:v>0.11115522387126209</c:v>
                </c:pt>
                <c:pt idx="76">
                  <c:v>0.11098371451736533</c:v>
                </c:pt>
                <c:pt idx="77">
                  <c:v>0.10940210177912135</c:v>
                </c:pt>
                <c:pt idx="78">
                  <c:v>0.11035444104023906</c:v>
                </c:pt>
                <c:pt idx="79">
                  <c:v>0.1129839207300698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F-4E25-93D0-23AE8406943F}"/>
            </c:ext>
          </c:extLst>
        </c:ser>
        <c:ser>
          <c:idx val="2"/>
          <c:order val="2"/>
          <c:tx>
            <c:v>2 extra points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Iss!$H$2:$H$81</c:f>
              <c:numCache>
                <c:formatCode>0.00</c:formatCode>
                <c:ptCount val="80"/>
                <c:pt idx="0">
                  <c:v>7.4163544242789037E-2</c:v>
                </c:pt>
                <c:pt idx="1">
                  <c:v>7.4091945391807634E-2</c:v>
                </c:pt>
                <c:pt idx="2">
                  <c:v>7.5467677637597319E-2</c:v>
                </c:pt>
                <c:pt idx="3">
                  <c:v>7.4134223226707263E-2</c:v>
                </c:pt>
                <c:pt idx="4">
                  <c:v>7.3014947850746914E-2</c:v>
                </c:pt>
                <c:pt idx="5">
                  <c:v>7.49040619542507E-2</c:v>
                </c:pt>
                <c:pt idx="6">
                  <c:v>7.5509655392846931E-2</c:v>
                </c:pt>
                <c:pt idx="7">
                  <c:v>7.4159753391156435E-2</c:v>
                </c:pt>
                <c:pt idx="8">
                  <c:v>7.6836668081403658E-2</c:v>
                </c:pt>
                <c:pt idx="9">
                  <c:v>7.5776642192004751E-2</c:v>
                </c:pt>
                <c:pt idx="10">
                  <c:v>7.6890705742460597E-2</c:v>
                </c:pt>
                <c:pt idx="11">
                  <c:v>7.5679255099903031E-2</c:v>
                </c:pt>
                <c:pt idx="12">
                  <c:v>7.779127831180066E-2</c:v>
                </c:pt>
                <c:pt idx="13">
                  <c:v>7.8659204160991258E-2</c:v>
                </c:pt>
                <c:pt idx="14">
                  <c:v>7.691341590672085E-2</c:v>
                </c:pt>
                <c:pt idx="15">
                  <c:v>7.7805746303227785E-2</c:v>
                </c:pt>
                <c:pt idx="16">
                  <c:v>7.9744816586924117E-2</c:v>
                </c:pt>
                <c:pt idx="17">
                  <c:v>7.7741625254224012E-2</c:v>
                </c:pt>
                <c:pt idx="18">
                  <c:v>7.9674705631904708E-2</c:v>
                </c:pt>
                <c:pt idx="19">
                  <c:v>8.0276416757296687E-2</c:v>
                </c:pt>
                <c:pt idx="20">
                  <c:v>8.043083281261687E-2</c:v>
                </c:pt>
                <c:pt idx="21">
                  <c:v>8.0869618806023169E-2</c:v>
                </c:pt>
                <c:pt idx="22">
                  <c:v>8.1926022173650637E-2</c:v>
                </c:pt>
                <c:pt idx="23">
                  <c:v>8.0521716453563208E-2</c:v>
                </c:pt>
                <c:pt idx="24">
                  <c:v>8.2475969000794791E-2</c:v>
                </c:pt>
                <c:pt idx="25">
                  <c:v>8.3870689953169375E-2</c:v>
                </c:pt>
                <c:pt idx="26">
                  <c:v>8.3305189688176462E-2</c:v>
                </c:pt>
                <c:pt idx="27">
                  <c:v>8.4874587918593036E-2</c:v>
                </c:pt>
                <c:pt idx="28">
                  <c:v>8.5713874334691909E-2</c:v>
                </c:pt>
                <c:pt idx="29">
                  <c:v>8.5142378914659922E-2</c:v>
                </c:pt>
                <c:pt idx="30">
                  <c:v>8.7048438021541941E-2</c:v>
                </c:pt>
                <c:pt idx="31">
                  <c:v>8.8129695173266853E-2</c:v>
                </c:pt>
                <c:pt idx="32">
                  <c:v>8.8908273501986379E-2</c:v>
                </c:pt>
                <c:pt idx="33">
                  <c:v>9.0457629613216461E-2</c:v>
                </c:pt>
                <c:pt idx="34">
                  <c:v>9.3350608217623865E-2</c:v>
                </c:pt>
                <c:pt idx="35">
                  <c:v>9.4106940093086067E-2</c:v>
                </c:pt>
                <c:pt idx="36">
                  <c:v>9.9257028475996378E-2</c:v>
                </c:pt>
                <c:pt idx="37">
                  <c:v>0.10045822644257907</c:v>
                </c:pt>
                <c:pt idx="38">
                  <c:v>0.11183737364115487</c:v>
                </c:pt>
                <c:pt idx="39">
                  <c:v>0.11666825390614921</c:v>
                </c:pt>
                <c:pt idx="40">
                  <c:v>0.12513546764414407</c:v>
                </c:pt>
                <c:pt idx="41">
                  <c:v>0.1273479414324763</c:v>
                </c:pt>
                <c:pt idx="42">
                  <c:v>0.11853494298761369</c:v>
                </c:pt>
                <c:pt idx="43">
                  <c:v>0.11594273964241619</c:v>
                </c:pt>
                <c:pt idx="44">
                  <c:v>9.8945717745690942E-2</c:v>
                </c:pt>
                <c:pt idx="45">
                  <c:v>0.10064205177442442</c:v>
                </c:pt>
                <c:pt idx="46">
                  <c:v>8.4735713315309269E-2</c:v>
                </c:pt>
                <c:pt idx="47">
                  <c:v>9.0222446744681051E-2</c:v>
                </c:pt>
                <c:pt idx="48">
                  <c:v>8.1266254967338192E-2</c:v>
                </c:pt>
                <c:pt idx="49">
                  <c:v>9.0240204146141423E-2</c:v>
                </c:pt>
                <c:pt idx="50">
                  <c:v>8.2176412436996138E-2</c:v>
                </c:pt>
                <c:pt idx="51">
                  <c:v>9.1539137082330413E-2</c:v>
                </c:pt>
                <c:pt idx="52">
                  <c:v>8.4253294410907564E-2</c:v>
                </c:pt>
                <c:pt idx="53">
                  <c:v>9.4033799579018584E-2</c:v>
                </c:pt>
                <c:pt idx="54">
                  <c:v>8.7615401281526673E-2</c:v>
                </c:pt>
                <c:pt idx="55">
                  <c:v>9.5681882871945234E-2</c:v>
                </c:pt>
                <c:pt idx="56">
                  <c:v>8.9483215589680754E-2</c:v>
                </c:pt>
                <c:pt idx="57">
                  <c:v>9.7028572590596163E-2</c:v>
                </c:pt>
                <c:pt idx="58">
                  <c:v>8.8653881247502397E-2</c:v>
                </c:pt>
                <c:pt idx="59">
                  <c:v>9.4616124980295702E-2</c:v>
                </c:pt>
                <c:pt idx="60">
                  <c:v>8.9219709908494593E-2</c:v>
                </c:pt>
                <c:pt idx="61">
                  <c:v>9.9304408332345773E-2</c:v>
                </c:pt>
                <c:pt idx="62">
                  <c:v>9.1152342027100985E-2</c:v>
                </c:pt>
                <c:pt idx="63">
                  <c:v>9.8528326149582846E-2</c:v>
                </c:pt>
                <c:pt idx="64">
                  <c:v>9.000869460169536E-2</c:v>
                </c:pt>
                <c:pt idx="65">
                  <c:v>9.5556850469624699E-2</c:v>
                </c:pt>
                <c:pt idx="66">
                  <c:v>8.7753893587461107E-2</c:v>
                </c:pt>
                <c:pt idx="67">
                  <c:v>9.6598550308124587E-2</c:v>
                </c:pt>
                <c:pt idx="68">
                  <c:v>8.5664926471062941E-2</c:v>
                </c:pt>
                <c:pt idx="69">
                  <c:v>9.5303934401846924E-2</c:v>
                </c:pt>
                <c:pt idx="70">
                  <c:v>8.3804317933200423E-2</c:v>
                </c:pt>
                <c:pt idx="71">
                  <c:v>9.417226747578944E-2</c:v>
                </c:pt>
                <c:pt idx="72">
                  <c:v>8.0401219261494461E-2</c:v>
                </c:pt>
                <c:pt idx="73">
                  <c:v>9.3663427432577606E-2</c:v>
                </c:pt>
                <c:pt idx="74">
                  <c:v>8.1067642978260857E-2</c:v>
                </c:pt>
                <c:pt idx="75">
                  <c:v>9.3291788938154596E-2</c:v>
                </c:pt>
                <c:pt idx="76">
                  <c:v>7.9498972810299051E-2</c:v>
                </c:pt>
                <c:pt idx="77">
                  <c:v>9.0890747840188801E-2</c:v>
                </c:pt>
                <c:pt idx="78">
                  <c:v>8.1313798661231118E-2</c:v>
                </c:pt>
                <c:pt idx="79">
                  <c:v>9.5891043161233647E-2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F-4E25-93D0-23AE8406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Error,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51290463692037"/>
          <c:y val="0.14203068257885415"/>
          <c:w val="0.26180621172353458"/>
          <c:h val="0.28496714144227453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SASKTRAN-HR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Iss!$B$2:$B$81</c:f>
              <c:numCache>
                <c:formatCode>0.0000E+00</c:formatCode>
                <c:ptCount val="80"/>
                <c:pt idx="0">
                  <c:v>2.788432E-3</c:v>
                </c:pt>
                <c:pt idx="1">
                  <c:v>2.8019239999999999E-3</c:v>
                </c:pt>
                <c:pt idx="2">
                  <c:v>2.815775E-3</c:v>
                </c:pt>
                <c:pt idx="3">
                  <c:v>2.8300019999999999E-3</c:v>
                </c:pt>
                <c:pt idx="4">
                  <c:v>2.8446230000000001E-3</c:v>
                </c:pt>
                <c:pt idx="5">
                  <c:v>2.8596580000000002E-3</c:v>
                </c:pt>
                <c:pt idx="6">
                  <c:v>2.8751290000000001E-3</c:v>
                </c:pt>
                <c:pt idx="7">
                  <c:v>2.8910559999999999E-3</c:v>
                </c:pt>
                <c:pt idx="8">
                  <c:v>2.907466E-3</c:v>
                </c:pt>
                <c:pt idx="9">
                  <c:v>2.9243839999999999E-3</c:v>
                </c:pt>
                <c:pt idx="10">
                  <c:v>2.941838E-3</c:v>
                </c:pt>
                <c:pt idx="11">
                  <c:v>2.9598599999999999E-3</c:v>
                </c:pt>
                <c:pt idx="12">
                  <c:v>2.9784830000000001E-3</c:v>
                </c:pt>
                <c:pt idx="13">
                  <c:v>2.9977419999999999E-3</c:v>
                </c:pt>
                <c:pt idx="14">
                  <c:v>3.0176790000000001E-3</c:v>
                </c:pt>
                <c:pt idx="15">
                  <c:v>3.038336E-3</c:v>
                </c:pt>
                <c:pt idx="16">
                  <c:v>3.0597599999999999E-3</c:v>
                </c:pt>
                <c:pt idx="17">
                  <c:v>3.0820040000000002E-3</c:v>
                </c:pt>
                <c:pt idx="18">
                  <c:v>3.1051260000000002E-3</c:v>
                </c:pt>
                <c:pt idx="19">
                  <c:v>3.1291880000000002E-3</c:v>
                </c:pt>
                <c:pt idx="20">
                  <c:v>3.154263E-3</c:v>
                </c:pt>
                <c:pt idx="21">
                  <c:v>3.1804279999999999E-3</c:v>
                </c:pt>
                <c:pt idx="22">
                  <c:v>3.2077719999999998E-3</c:v>
                </c:pt>
                <c:pt idx="23">
                  <c:v>3.2363940000000001E-3</c:v>
                </c:pt>
                <c:pt idx="24">
                  <c:v>3.2664059999999999E-3</c:v>
                </c:pt>
                <c:pt idx="25">
                  <c:v>3.2979340000000002E-3</c:v>
                </c:pt>
                <c:pt idx="26">
                  <c:v>3.3311249999999999E-3</c:v>
                </c:pt>
                <c:pt idx="27">
                  <c:v>3.3661429999999998E-3</c:v>
                </c:pt>
                <c:pt idx="28">
                  <c:v>3.4031830000000002E-3</c:v>
                </c:pt>
                <c:pt idx="29">
                  <c:v>3.4424690000000001E-3</c:v>
                </c:pt>
                <c:pt idx="30">
                  <c:v>3.4842670000000001E-3</c:v>
                </c:pt>
                <c:pt idx="31">
                  <c:v>3.5288899999999998E-3</c:v>
                </c:pt>
                <c:pt idx="32">
                  <c:v>3.5767199999999998E-3</c:v>
                </c:pt>
                <c:pt idx="33">
                  <c:v>3.6282179999999999E-3</c:v>
                </c:pt>
                <c:pt idx="34">
                  <c:v>3.6839609999999999E-3</c:v>
                </c:pt>
                <c:pt idx="35">
                  <c:v>3.7446760000000002E-3</c:v>
                </c:pt>
                <c:pt idx="36">
                  <c:v>3.8113169999999998E-3</c:v>
                </c:pt>
                <c:pt idx="37">
                  <c:v>3.885197E-3</c:v>
                </c:pt>
                <c:pt idx="38">
                  <c:v>3.9682620000000002E-3</c:v>
                </c:pt>
                <c:pt idx="39">
                  <c:v>4.0636589999999998E-3</c:v>
                </c:pt>
                <c:pt idx="40">
                  <c:v>4.1762739999999998E-3</c:v>
                </c:pt>
                <c:pt idx="41">
                  <c:v>4.3118089999999998E-3</c:v>
                </c:pt>
                <c:pt idx="42">
                  <c:v>4.4720990000000002E-3</c:v>
                </c:pt>
                <c:pt idx="43">
                  <c:v>4.6497090000000001E-3</c:v>
                </c:pt>
                <c:pt idx="44">
                  <c:v>4.829921E-3</c:v>
                </c:pt>
                <c:pt idx="45">
                  <c:v>4.9869809999999997E-3</c:v>
                </c:pt>
                <c:pt idx="46">
                  <c:v>5.0934839999999997E-3</c:v>
                </c:pt>
                <c:pt idx="47">
                  <c:v>5.132869E-3</c:v>
                </c:pt>
                <c:pt idx="48">
                  <c:v>5.0980569999999996E-3</c:v>
                </c:pt>
                <c:pt idx="49">
                  <c:v>4.9877990000000002E-3</c:v>
                </c:pt>
                <c:pt idx="50">
                  <c:v>4.8079489999999997E-3</c:v>
                </c:pt>
                <c:pt idx="51">
                  <c:v>4.5718149999999999E-3</c:v>
                </c:pt>
                <c:pt idx="52">
                  <c:v>4.295381E-3</c:v>
                </c:pt>
                <c:pt idx="53">
                  <c:v>3.9932450000000003E-3</c:v>
                </c:pt>
                <c:pt idx="54">
                  <c:v>3.6785770000000001E-3</c:v>
                </c:pt>
                <c:pt idx="55">
                  <c:v>3.3621829999999999E-3</c:v>
                </c:pt>
                <c:pt idx="56">
                  <c:v>3.0519689999999999E-3</c:v>
                </c:pt>
                <c:pt idx="57">
                  <c:v>2.7538279999999998E-3</c:v>
                </c:pt>
                <c:pt idx="58">
                  <c:v>2.4714089999999999E-3</c:v>
                </c:pt>
                <c:pt idx="59">
                  <c:v>2.2068119999999998E-3</c:v>
                </c:pt>
                <c:pt idx="60">
                  <c:v>1.96145E-3</c:v>
                </c:pt>
                <c:pt idx="61">
                  <c:v>1.736076E-3</c:v>
                </c:pt>
                <c:pt idx="62">
                  <c:v>1.5304050000000001E-3</c:v>
                </c:pt>
                <c:pt idx="63">
                  <c:v>1.3437760000000001E-3</c:v>
                </c:pt>
                <c:pt idx="64">
                  <c:v>1.1754420000000001E-3</c:v>
                </c:pt>
                <c:pt idx="65">
                  <c:v>1.024521E-3</c:v>
                </c:pt>
                <c:pt idx="66">
                  <c:v>8.8998899999999999E-4</c:v>
                </c:pt>
                <c:pt idx="67">
                  <c:v>7.707155E-4</c:v>
                </c:pt>
                <c:pt idx="68">
                  <c:v>6.6549990000000004E-4</c:v>
                </c:pt>
                <c:pt idx="69">
                  <c:v>5.7311380000000004E-4</c:v>
                </c:pt>
                <c:pt idx="70">
                  <c:v>4.9233739999999995E-4</c:v>
                </c:pt>
                <c:pt idx="71">
                  <c:v>4.2199259999999998E-4</c:v>
                </c:pt>
                <c:pt idx="72">
                  <c:v>3.6093980000000001E-4</c:v>
                </c:pt>
                <c:pt idx="73">
                  <c:v>3.082313E-4</c:v>
                </c:pt>
                <c:pt idx="74">
                  <c:v>2.6286689999999998E-4</c:v>
                </c:pt>
                <c:pt idx="75">
                  <c:v>2.2392110000000001E-4</c:v>
                </c:pt>
                <c:pt idx="76">
                  <c:v>1.9056849999999999E-4</c:v>
                </c:pt>
                <c:pt idx="77">
                  <c:v>1.620627E-4</c:v>
                </c:pt>
                <c:pt idx="78">
                  <c:v>1.3773799999999999E-4</c:v>
                </c:pt>
                <c:pt idx="79">
                  <c:v>1.170078E-4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3-4597-9333-B51E4356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29053</xdr:colOff>
      <xdr:row>1</xdr:row>
      <xdr:rowOff>21907</xdr:rowOff>
    </xdr:from>
    <xdr:to>
      <xdr:col>16</xdr:col>
      <xdr:colOff>333853</xdr:colOff>
      <xdr:row>16</xdr:row>
      <xdr:rowOff>50482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48D19-2472-F1CA-8E8C-FE41FB682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4F14A-ED61-48E6-A626-02566D001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304800</xdr:colOff>
      <xdr:row>33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2D500E-B88E-45E4-BB2F-90546693F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7E76-2E3A-46B7-8284-E640DE7DB91A}">
  <dimension ref="A1:H83"/>
  <sheetViews>
    <sheetView tabSelected="1" topLeftCell="A7" workbookViewId="0">
      <selection activeCell="B32" sqref="B32"/>
    </sheetView>
  </sheetViews>
  <sheetFormatPr defaultRowHeight="14.4" x14ac:dyDescent="0.3"/>
  <cols>
    <col min="1" max="1" width="8.88671875" style="1"/>
    <col min="2" max="5" width="12.77734375" style="1" customWidth="1"/>
    <col min="6" max="8" width="10.33203125" style="1" bestFit="1" customWidth="1"/>
    <col min="9" max="16384" width="8.88671875" style="1"/>
  </cols>
  <sheetData>
    <row r="1" spans="1:8" x14ac:dyDescent="0.3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4" t="s">
        <v>7</v>
      </c>
      <c r="G1" s="4" t="s">
        <v>6</v>
      </c>
      <c r="H1" s="4" t="s">
        <v>9</v>
      </c>
    </row>
    <row r="2" spans="1:8" x14ac:dyDescent="0.3">
      <c r="A2" s="1">
        <v>0.5</v>
      </c>
      <c r="B2" s="2">
        <v>2.788432E-3</v>
      </c>
      <c r="C2" s="2">
        <v>2.8142000000000002E-3</v>
      </c>
      <c r="D2" s="2">
        <v>2.7910000000000001E-3</v>
      </c>
      <c r="E2" s="2">
        <v>2.7905E-3</v>
      </c>
      <c r="F2" s="5">
        <f t="shared" ref="F2:F33" si="0">100*(C2/B2-1)</f>
        <v>0.92410358222829725</v>
      </c>
      <c r="G2" s="5">
        <f t="shared" ref="G2:G33" si="1">100*(D2/B2-1)</f>
        <v>9.2094768672867922E-2</v>
      </c>
      <c r="H2" s="5">
        <f>100*(E2/B2-1)</f>
        <v>7.4163544242789037E-2</v>
      </c>
    </row>
    <row r="3" spans="1:8" x14ac:dyDescent="0.3">
      <c r="A3" s="1">
        <v>1.5</v>
      </c>
      <c r="B3" s="2">
        <v>2.8019239999999999E-3</v>
      </c>
      <c r="C3" s="2">
        <v>2.8278999999999999E-3</v>
      </c>
      <c r="D3" s="2">
        <v>2.8045000000000001E-3</v>
      </c>
      <c r="E3" s="2">
        <v>2.8040000000000001E-3</v>
      </c>
      <c r="F3" s="5">
        <f t="shared" si="0"/>
        <v>0.92707725120311224</v>
      </c>
      <c r="G3" s="5">
        <f t="shared" si="1"/>
        <v>9.1936826266536542E-2</v>
      </c>
      <c r="H3" s="5">
        <f t="shared" ref="H3:H66" si="2">100*(E3/B3-1)</f>
        <v>7.4091945391807634E-2</v>
      </c>
    </row>
    <row r="4" spans="1:8" x14ac:dyDescent="0.3">
      <c r="A4" s="1">
        <v>2.5</v>
      </c>
      <c r="B4" s="2">
        <v>2.815775E-3</v>
      </c>
      <c r="C4" s="2">
        <v>2.8419999999999999E-3</v>
      </c>
      <c r="D4" s="2">
        <v>2.8183000000000001E-3</v>
      </c>
      <c r="E4" s="2">
        <v>2.8178999999999999E-3</v>
      </c>
      <c r="F4" s="5">
        <f t="shared" si="0"/>
        <v>0.93135992755102315</v>
      </c>
      <c r="G4" s="5">
        <f t="shared" si="1"/>
        <v>8.9673358134101377E-2</v>
      </c>
      <c r="H4" s="5">
        <f t="shared" si="2"/>
        <v>7.5467677637597319E-2</v>
      </c>
    </row>
    <row r="5" spans="1:8" x14ac:dyDescent="0.3">
      <c r="A5" s="1">
        <v>3.5</v>
      </c>
      <c r="B5" s="2">
        <v>2.8300019999999999E-3</v>
      </c>
      <c r="C5" s="2">
        <v>2.8565000000000001E-3</v>
      </c>
      <c r="D5" s="2">
        <v>2.8325999999999998E-3</v>
      </c>
      <c r="E5" s="2">
        <v>2.8321000000000002E-3</v>
      </c>
      <c r="F5" s="5">
        <f t="shared" si="0"/>
        <v>0.93632442662585635</v>
      </c>
      <c r="G5" s="5">
        <f t="shared" si="1"/>
        <v>9.1802055263556781E-2</v>
      </c>
      <c r="H5" s="5">
        <f t="shared" si="2"/>
        <v>7.4134223226707263E-2</v>
      </c>
    </row>
    <row r="6" spans="1:8" x14ac:dyDescent="0.3">
      <c r="A6" s="1">
        <v>4.5</v>
      </c>
      <c r="B6" s="2">
        <v>2.8446230000000001E-3</v>
      </c>
      <c r="C6" s="2">
        <v>2.8714000000000001E-3</v>
      </c>
      <c r="D6" s="2">
        <v>2.8471999999999998E-3</v>
      </c>
      <c r="E6" s="2">
        <v>2.8467000000000002E-3</v>
      </c>
      <c r="F6" s="5">
        <f t="shared" si="0"/>
        <v>0.94131981636933482</v>
      </c>
      <c r="G6" s="5">
        <f t="shared" si="1"/>
        <v>9.0591969480646739E-2</v>
      </c>
      <c r="H6" s="5">
        <f t="shared" si="2"/>
        <v>7.3014947850746914E-2</v>
      </c>
    </row>
    <row r="7" spans="1:8" x14ac:dyDescent="0.3">
      <c r="A7" s="1">
        <v>5.5</v>
      </c>
      <c r="B7" s="2">
        <v>2.8596580000000002E-3</v>
      </c>
      <c r="C7" s="2">
        <v>2.8866999999999999E-3</v>
      </c>
      <c r="D7" s="2">
        <v>2.8622999999999999E-3</v>
      </c>
      <c r="E7" s="2">
        <v>2.8617999999999998E-3</v>
      </c>
      <c r="F7" s="5">
        <f t="shared" si="0"/>
        <v>0.94563755526009263</v>
      </c>
      <c r="G7" s="5">
        <f t="shared" si="1"/>
        <v>9.2388670253562566E-2</v>
      </c>
      <c r="H7" s="5">
        <f t="shared" si="2"/>
        <v>7.49040619542507E-2</v>
      </c>
    </row>
    <row r="8" spans="1:8" x14ac:dyDescent="0.3">
      <c r="A8" s="1">
        <v>6.5</v>
      </c>
      <c r="B8" s="2">
        <v>2.8751290000000001E-3</v>
      </c>
      <c r="C8" s="2">
        <v>2.9025000000000001E-3</v>
      </c>
      <c r="D8" s="2">
        <v>2.8777999999999998E-3</v>
      </c>
      <c r="E8" s="2">
        <v>2.8773000000000002E-3</v>
      </c>
      <c r="F8" s="5">
        <f t="shared" si="0"/>
        <v>0.95199206713856288</v>
      </c>
      <c r="G8" s="5">
        <f t="shared" si="1"/>
        <v>9.290017943541784E-2</v>
      </c>
      <c r="H8" s="5">
        <f t="shared" si="2"/>
        <v>7.5509655392846931E-2</v>
      </c>
    </row>
    <row r="9" spans="1:8" x14ac:dyDescent="0.3">
      <c r="A9" s="1">
        <v>7.5</v>
      </c>
      <c r="B9" s="2">
        <v>2.8910559999999999E-3</v>
      </c>
      <c r="C9" s="2">
        <v>2.9187000000000002E-3</v>
      </c>
      <c r="D9" s="2">
        <v>2.8936999999999999E-3</v>
      </c>
      <c r="E9" s="2">
        <v>2.8931999999999999E-3</v>
      </c>
      <c r="F9" s="5">
        <f t="shared" si="0"/>
        <v>0.95619040239969255</v>
      </c>
      <c r="G9" s="5">
        <f t="shared" si="1"/>
        <v>9.14544719991639E-2</v>
      </c>
      <c r="H9" s="5">
        <f t="shared" si="2"/>
        <v>7.4159753391156435E-2</v>
      </c>
    </row>
    <row r="10" spans="1:8" x14ac:dyDescent="0.3">
      <c r="A10" s="1">
        <v>8.5</v>
      </c>
      <c r="B10" s="2">
        <v>2.907466E-3</v>
      </c>
      <c r="C10" s="2">
        <v>2.9355000000000002E-3</v>
      </c>
      <c r="D10" s="2">
        <v>2.9101999999999999E-3</v>
      </c>
      <c r="E10" s="2">
        <v>2.9096999999999999E-3</v>
      </c>
      <c r="F10" s="5">
        <f t="shared" si="0"/>
        <v>0.96420732005120247</v>
      </c>
      <c r="G10" s="5">
        <f t="shared" si="1"/>
        <v>9.4033773739732318E-2</v>
      </c>
      <c r="H10" s="5">
        <f t="shared" si="2"/>
        <v>7.6836668081403658E-2</v>
      </c>
    </row>
    <row r="11" spans="1:8" x14ac:dyDescent="0.3">
      <c r="A11" s="1">
        <v>9.5</v>
      </c>
      <c r="B11" s="2">
        <v>2.9243839999999999E-3</v>
      </c>
      <c r="C11" s="2">
        <v>2.9526999999999999E-3</v>
      </c>
      <c r="D11" s="2">
        <v>2.9271000000000002E-3</v>
      </c>
      <c r="E11" s="2">
        <v>2.9266000000000001E-3</v>
      </c>
      <c r="F11" s="5">
        <f t="shared" si="0"/>
        <v>0.9682722925580256</v>
      </c>
      <c r="G11" s="5">
        <f t="shared" si="1"/>
        <v>9.2874260015118892E-2</v>
      </c>
      <c r="H11" s="5">
        <f t="shared" si="2"/>
        <v>7.5776642192004751E-2</v>
      </c>
    </row>
    <row r="12" spans="1:8" x14ac:dyDescent="0.3">
      <c r="A12" s="1">
        <v>10.5</v>
      </c>
      <c r="B12" s="2">
        <v>2.941838E-3</v>
      </c>
      <c r="C12" s="2">
        <v>2.9705000000000001E-3</v>
      </c>
      <c r="D12" s="2">
        <v>2.9445999999999999E-3</v>
      </c>
      <c r="E12" s="2">
        <v>2.9440999999999998E-3</v>
      </c>
      <c r="F12" s="5">
        <f t="shared" si="0"/>
        <v>0.97428886294894657</v>
      </c>
      <c r="G12" s="5">
        <f t="shared" si="1"/>
        <v>9.388688296227965E-2</v>
      </c>
      <c r="H12" s="5">
        <f t="shared" si="2"/>
        <v>7.6890705742460597E-2</v>
      </c>
    </row>
    <row r="13" spans="1:8" x14ac:dyDescent="0.3">
      <c r="A13" s="1">
        <v>11.5</v>
      </c>
      <c r="B13" s="2">
        <v>2.9598599999999999E-3</v>
      </c>
      <c r="C13" s="2">
        <v>2.9889000000000001E-3</v>
      </c>
      <c r="D13" s="2">
        <v>2.9626000000000001E-3</v>
      </c>
      <c r="E13" s="2">
        <v>2.9621000000000001E-3</v>
      </c>
      <c r="F13" s="5">
        <f t="shared" si="0"/>
        <v>0.98112748575946984</v>
      </c>
      <c r="G13" s="5">
        <f t="shared" si="1"/>
        <v>9.2571945970432168E-2</v>
      </c>
      <c r="H13" s="5">
        <f t="shared" si="2"/>
        <v>7.5679255099903031E-2</v>
      </c>
    </row>
    <row r="14" spans="1:8" x14ac:dyDescent="0.3">
      <c r="A14" s="1">
        <v>12.5</v>
      </c>
      <c r="B14" s="2">
        <v>2.9784830000000001E-3</v>
      </c>
      <c r="C14" s="2">
        <v>3.0079E-3</v>
      </c>
      <c r="D14" s="2">
        <v>2.9813000000000001E-3</v>
      </c>
      <c r="E14" s="2">
        <v>2.9808E-3</v>
      </c>
      <c r="F14" s="5">
        <f t="shared" si="0"/>
        <v>0.98765042472963582</v>
      </c>
      <c r="G14" s="5">
        <f t="shared" si="1"/>
        <v>9.4578347433915688E-2</v>
      </c>
      <c r="H14" s="5">
        <f t="shared" si="2"/>
        <v>7.779127831180066E-2</v>
      </c>
    </row>
    <row r="15" spans="1:8" x14ac:dyDescent="0.3">
      <c r="A15" s="1">
        <v>13.5</v>
      </c>
      <c r="B15" s="2">
        <v>2.9977419999999999E-3</v>
      </c>
      <c r="C15" s="2">
        <v>3.0274999999999998E-3</v>
      </c>
      <c r="D15" s="2">
        <v>3.0006E-3</v>
      </c>
      <c r="E15" s="2">
        <v>3.0000999999999999E-3</v>
      </c>
      <c r="F15" s="5">
        <f t="shared" si="0"/>
        <v>0.99268049084944021</v>
      </c>
      <c r="G15" s="5">
        <f t="shared" si="1"/>
        <v>9.5338424721003179E-2</v>
      </c>
      <c r="H15" s="5">
        <f t="shared" si="2"/>
        <v>7.8659204160991258E-2</v>
      </c>
    </row>
    <row r="16" spans="1:8" x14ac:dyDescent="0.3">
      <c r="A16" s="1">
        <v>14.5</v>
      </c>
      <c r="B16" s="2">
        <v>3.0176790000000001E-3</v>
      </c>
      <c r="C16" s="2">
        <v>3.0479000000000001E-3</v>
      </c>
      <c r="D16" s="2">
        <v>3.0205000000000002E-3</v>
      </c>
      <c r="E16" s="2">
        <v>3.0200000000000001E-3</v>
      </c>
      <c r="F16" s="5">
        <f t="shared" si="0"/>
        <v>1.0014650332258679</v>
      </c>
      <c r="G16" s="5">
        <f t="shared" si="1"/>
        <v>9.3482441306713682E-2</v>
      </c>
      <c r="H16" s="5">
        <f t="shared" si="2"/>
        <v>7.691341590672085E-2</v>
      </c>
    </row>
    <row r="17" spans="1:8" x14ac:dyDescent="0.3">
      <c r="A17" s="1">
        <v>15.5</v>
      </c>
      <c r="B17" s="2">
        <v>3.038336E-3</v>
      </c>
      <c r="C17" s="2">
        <v>3.0688999999999998E-3</v>
      </c>
      <c r="D17" s="2">
        <v>3.0412E-3</v>
      </c>
      <c r="E17" s="2">
        <v>3.0406999999999999E-3</v>
      </c>
      <c r="F17" s="5">
        <f t="shared" si="0"/>
        <v>1.0059453595652412</v>
      </c>
      <c r="G17" s="5">
        <f t="shared" si="1"/>
        <v>9.4262122424915162E-2</v>
      </c>
      <c r="H17" s="5">
        <f t="shared" si="2"/>
        <v>7.7805746303227785E-2</v>
      </c>
    </row>
    <row r="18" spans="1:8" x14ac:dyDescent="0.3">
      <c r="A18" s="1">
        <v>16.5</v>
      </c>
      <c r="B18" s="2">
        <v>3.0597599999999999E-3</v>
      </c>
      <c r="C18" s="2">
        <v>3.0907999999999999E-3</v>
      </c>
      <c r="D18" s="2">
        <v>3.0626999999999998E-3</v>
      </c>
      <c r="E18" s="2">
        <v>3.0622000000000002E-3</v>
      </c>
      <c r="F18" s="5">
        <f t="shared" si="0"/>
        <v>1.0144586503516573</v>
      </c>
      <c r="G18" s="5">
        <f t="shared" si="1"/>
        <v>9.6085967526859939E-2</v>
      </c>
      <c r="H18" s="5">
        <f t="shared" si="2"/>
        <v>7.9744816586924117E-2</v>
      </c>
    </row>
    <row r="19" spans="1:8" x14ac:dyDescent="0.3">
      <c r="A19" s="1">
        <v>17.5</v>
      </c>
      <c r="B19" s="2">
        <v>3.0820040000000002E-3</v>
      </c>
      <c r="C19" s="2">
        <v>3.1134999999999999E-3</v>
      </c>
      <c r="D19" s="2">
        <v>3.0850000000000001E-3</v>
      </c>
      <c r="E19" s="2">
        <v>3.0844000000000002E-3</v>
      </c>
      <c r="F19" s="5">
        <f t="shared" si="0"/>
        <v>1.021932482890997</v>
      </c>
      <c r="G19" s="5">
        <f t="shared" si="1"/>
        <v>9.7209477988990933E-2</v>
      </c>
      <c r="H19" s="5">
        <f t="shared" si="2"/>
        <v>7.7741625254224012E-2</v>
      </c>
    </row>
    <row r="20" spans="1:8" x14ac:dyDescent="0.3">
      <c r="A20" s="1">
        <v>18.5</v>
      </c>
      <c r="B20" s="2">
        <v>3.1051260000000002E-3</v>
      </c>
      <c r="C20" s="2">
        <v>3.1370999999999999E-3</v>
      </c>
      <c r="D20" s="2">
        <v>3.1080999999999999E-3</v>
      </c>
      <c r="E20" s="2">
        <v>3.1075999999999999E-3</v>
      </c>
      <c r="F20" s="5">
        <f t="shared" si="0"/>
        <v>1.029716668502334</v>
      </c>
      <c r="G20" s="5">
        <f t="shared" si="1"/>
        <v>9.5777111782258118E-2</v>
      </c>
      <c r="H20" s="5">
        <f t="shared" si="2"/>
        <v>7.9674705631904708E-2</v>
      </c>
    </row>
    <row r="21" spans="1:8" x14ac:dyDescent="0.3">
      <c r="A21" s="1">
        <v>19.5</v>
      </c>
      <c r="B21" s="2">
        <v>3.1291880000000002E-3</v>
      </c>
      <c r="C21" s="2">
        <v>3.1616999999999999E-3</v>
      </c>
      <c r="D21" s="2">
        <v>3.1321999999999999E-3</v>
      </c>
      <c r="E21" s="2">
        <v>3.1316999999999998E-3</v>
      </c>
      <c r="F21" s="5">
        <f t="shared" si="0"/>
        <v>1.0389915850373965</v>
      </c>
      <c r="G21" s="5">
        <f t="shared" si="1"/>
        <v>9.6255002895317965E-2</v>
      </c>
      <c r="H21" s="5">
        <f t="shared" si="2"/>
        <v>8.0276416757296687E-2</v>
      </c>
    </row>
    <row r="22" spans="1:8" x14ac:dyDescent="0.3">
      <c r="A22" s="1">
        <v>20.5</v>
      </c>
      <c r="B22" s="2">
        <v>3.154263E-3</v>
      </c>
      <c r="C22" s="2">
        <v>3.1873000000000001E-3</v>
      </c>
      <c r="D22" s="2">
        <v>3.1573E-3</v>
      </c>
      <c r="E22" s="2">
        <v>3.1568E-3</v>
      </c>
      <c r="F22" s="5">
        <f t="shared" si="0"/>
        <v>1.0473762016673938</v>
      </c>
      <c r="G22" s="5">
        <f t="shared" si="1"/>
        <v>9.6282396236468948E-2</v>
      </c>
      <c r="H22" s="5">
        <f t="shared" si="2"/>
        <v>8.043083281261687E-2</v>
      </c>
    </row>
    <row r="23" spans="1:8" x14ac:dyDescent="0.3">
      <c r="A23" s="1">
        <v>21.5</v>
      </c>
      <c r="B23" s="2">
        <v>3.1804279999999999E-3</v>
      </c>
      <c r="C23" s="2">
        <v>3.2141000000000001E-3</v>
      </c>
      <c r="D23" s="2">
        <v>3.1835000000000001E-3</v>
      </c>
      <c r="E23" s="2">
        <v>3.1830000000000001E-3</v>
      </c>
      <c r="F23" s="5">
        <f t="shared" si="0"/>
        <v>1.0587254294076143</v>
      </c>
      <c r="G23" s="5">
        <f t="shared" si="1"/>
        <v>9.6590773317317691E-2</v>
      </c>
      <c r="H23" s="5">
        <f t="shared" si="2"/>
        <v>8.0869618806023169E-2</v>
      </c>
    </row>
    <row r="24" spans="1:8" x14ac:dyDescent="0.3">
      <c r="A24" s="1">
        <v>22.5</v>
      </c>
      <c r="B24" s="2">
        <v>3.2077719999999998E-3</v>
      </c>
      <c r="C24" s="2">
        <v>3.2420000000000001E-3</v>
      </c>
      <c r="D24" s="2">
        <v>3.2109E-3</v>
      </c>
      <c r="E24" s="2">
        <v>3.2104E-3</v>
      </c>
      <c r="F24" s="5">
        <f t="shared" si="0"/>
        <v>1.0670334425264771</v>
      </c>
      <c r="G24" s="5">
        <f t="shared" si="1"/>
        <v>9.7513164900764338E-2</v>
      </c>
      <c r="H24" s="5">
        <f t="shared" si="2"/>
        <v>8.1926022173650637E-2</v>
      </c>
    </row>
    <row r="25" spans="1:8" x14ac:dyDescent="0.3">
      <c r="A25" s="1">
        <v>23.5</v>
      </c>
      <c r="B25" s="2">
        <v>3.2363940000000001E-3</v>
      </c>
      <c r="C25" s="2">
        <v>3.2713E-3</v>
      </c>
      <c r="D25" s="2">
        <v>3.2396E-3</v>
      </c>
      <c r="E25" s="2">
        <v>3.2390000000000001E-3</v>
      </c>
      <c r="F25" s="5">
        <f t="shared" si="0"/>
        <v>1.0785460608319086</v>
      </c>
      <c r="G25" s="5">
        <f t="shared" si="1"/>
        <v>9.9060868361511289E-2</v>
      </c>
      <c r="H25" s="5">
        <f t="shared" si="2"/>
        <v>8.0521716453563208E-2</v>
      </c>
    </row>
    <row r="26" spans="1:8" x14ac:dyDescent="0.3">
      <c r="A26" s="1">
        <v>24.5</v>
      </c>
      <c r="B26" s="2">
        <v>3.2664059999999999E-3</v>
      </c>
      <c r="C26" s="2">
        <v>3.3019E-3</v>
      </c>
      <c r="D26" s="2">
        <v>3.2696000000000001E-3</v>
      </c>
      <c r="E26" s="2">
        <v>3.2691E-3</v>
      </c>
      <c r="F26" s="5">
        <f t="shared" si="0"/>
        <v>1.0866377296637308</v>
      </c>
      <c r="G26" s="5">
        <f t="shared" si="1"/>
        <v>9.7783312913346521E-2</v>
      </c>
      <c r="H26" s="5">
        <f t="shared" si="2"/>
        <v>8.2475969000794791E-2</v>
      </c>
    </row>
    <row r="27" spans="1:8" x14ac:dyDescent="0.3">
      <c r="A27" s="1">
        <v>25.5</v>
      </c>
      <c r="B27" s="2">
        <v>3.2979340000000002E-3</v>
      </c>
      <c r="C27" s="2">
        <v>3.3341999999999998E-3</v>
      </c>
      <c r="D27" s="2">
        <v>3.3011999999999998E-3</v>
      </c>
      <c r="E27" s="2">
        <v>3.3007000000000002E-3</v>
      </c>
      <c r="F27" s="5">
        <f t="shared" si="0"/>
        <v>1.0996581496172997</v>
      </c>
      <c r="G27" s="5">
        <f t="shared" si="1"/>
        <v>9.9031696813800529E-2</v>
      </c>
      <c r="H27" s="5">
        <f t="shared" si="2"/>
        <v>8.3870689953169375E-2</v>
      </c>
    </row>
    <row r="28" spans="1:8" x14ac:dyDescent="0.3">
      <c r="A28" s="1">
        <v>26.5</v>
      </c>
      <c r="B28" s="2">
        <v>3.3311249999999999E-3</v>
      </c>
      <c r="C28" s="2">
        <v>3.3682E-3</v>
      </c>
      <c r="D28" s="2">
        <v>3.3344999999999998E-3</v>
      </c>
      <c r="E28" s="2">
        <v>3.3338999999999999E-3</v>
      </c>
      <c r="F28" s="5">
        <f t="shared" si="0"/>
        <v>1.112987354122108</v>
      </c>
      <c r="G28" s="5">
        <f t="shared" si="1"/>
        <v>0.10131712259371373</v>
      </c>
      <c r="H28" s="5">
        <f t="shared" si="2"/>
        <v>8.3305189688176462E-2</v>
      </c>
    </row>
    <row r="29" spans="1:8" x14ac:dyDescent="0.3">
      <c r="A29" s="1">
        <v>27.5</v>
      </c>
      <c r="B29" s="2">
        <v>3.3661429999999998E-3</v>
      </c>
      <c r="C29" s="2">
        <v>3.4039999999999999E-3</v>
      </c>
      <c r="D29" s="2">
        <v>3.3695000000000001E-3</v>
      </c>
      <c r="E29" s="2">
        <v>3.369E-3</v>
      </c>
      <c r="F29" s="5">
        <f t="shared" si="0"/>
        <v>1.1246402782056464</v>
      </c>
      <c r="G29" s="5">
        <f t="shared" si="1"/>
        <v>9.9728383494124273E-2</v>
      </c>
      <c r="H29" s="5">
        <f t="shared" si="2"/>
        <v>8.4874587918593036E-2</v>
      </c>
    </row>
    <row r="30" spans="1:8" x14ac:dyDescent="0.3">
      <c r="A30" s="1">
        <v>28.5</v>
      </c>
      <c r="B30" s="2">
        <v>3.4031830000000002E-3</v>
      </c>
      <c r="C30" s="2">
        <v>3.4418999999999999E-3</v>
      </c>
      <c r="D30" s="2">
        <v>3.4066999999999999E-3</v>
      </c>
      <c r="E30" s="2">
        <v>3.4061E-3</v>
      </c>
      <c r="F30" s="5">
        <f t="shared" si="0"/>
        <v>1.1376702340132772</v>
      </c>
      <c r="G30" s="5">
        <f t="shared" si="1"/>
        <v>0.10334442784887266</v>
      </c>
      <c r="H30" s="5">
        <f t="shared" si="2"/>
        <v>8.5713874334691909E-2</v>
      </c>
    </row>
    <row r="31" spans="1:8" x14ac:dyDescent="0.3">
      <c r="A31" s="1">
        <v>29.5</v>
      </c>
      <c r="B31" s="2">
        <v>3.4424690000000001E-3</v>
      </c>
      <c r="C31" s="2">
        <v>3.4822E-3</v>
      </c>
      <c r="D31" s="2">
        <v>3.4459999999999998E-3</v>
      </c>
      <c r="E31" s="2">
        <v>3.4453999999999999E-3</v>
      </c>
      <c r="F31" s="5">
        <f t="shared" si="0"/>
        <v>1.1541425645372527</v>
      </c>
      <c r="G31" s="5">
        <f t="shared" si="1"/>
        <v>0.10257172976719797</v>
      </c>
      <c r="H31" s="5">
        <f t="shared" si="2"/>
        <v>8.5142378914659922E-2</v>
      </c>
    </row>
    <row r="32" spans="1:8" x14ac:dyDescent="0.3">
      <c r="A32" s="1">
        <v>30.5</v>
      </c>
      <c r="B32" s="2">
        <v>3.4842670000000001E-3</v>
      </c>
      <c r="C32" s="2">
        <v>3.5249999999999999E-3</v>
      </c>
      <c r="D32" s="2">
        <v>3.4878999999999999E-3</v>
      </c>
      <c r="E32" s="2">
        <v>3.4873E-3</v>
      </c>
      <c r="F32" s="5">
        <f t="shared" si="0"/>
        <v>1.1690550695454771</v>
      </c>
      <c r="G32" s="5">
        <f t="shared" si="1"/>
        <v>0.1042687027142275</v>
      </c>
      <c r="H32" s="5">
        <f t="shared" si="2"/>
        <v>8.7048438021541941E-2</v>
      </c>
    </row>
    <row r="33" spans="1:8" x14ac:dyDescent="0.3">
      <c r="A33" s="1">
        <v>31.5</v>
      </c>
      <c r="B33" s="2">
        <v>3.5288899999999998E-3</v>
      </c>
      <c r="C33" s="2">
        <v>3.5707E-3</v>
      </c>
      <c r="D33" s="2">
        <v>3.5325999999999999E-3</v>
      </c>
      <c r="E33" s="2">
        <v>3.532E-3</v>
      </c>
      <c r="F33" s="5">
        <f t="shared" si="0"/>
        <v>1.1847918183904849</v>
      </c>
      <c r="G33" s="5">
        <f t="shared" si="1"/>
        <v>0.10513220871153361</v>
      </c>
      <c r="H33" s="5">
        <f t="shared" si="2"/>
        <v>8.8129695173266853E-2</v>
      </c>
    </row>
    <row r="34" spans="1:8" x14ac:dyDescent="0.3">
      <c r="A34" s="1">
        <v>32.5</v>
      </c>
      <c r="B34" s="2">
        <v>3.5767199999999998E-3</v>
      </c>
      <c r="C34" s="2">
        <v>3.6197E-3</v>
      </c>
      <c r="D34" s="2">
        <v>3.5804999999999999E-3</v>
      </c>
      <c r="E34" s="2">
        <v>3.5799E-3</v>
      </c>
      <c r="F34" s="5">
        <f t="shared" ref="F34:F65" si="3">100*(C34/B34-1)</f>
        <v>1.2016596211053665</v>
      </c>
      <c r="G34" s="5">
        <f t="shared" ref="G34:G65" si="4">100*(D34/B34-1)</f>
        <v>0.10568341944574566</v>
      </c>
      <c r="H34" s="5">
        <f t="shared" si="2"/>
        <v>8.8908273501986379E-2</v>
      </c>
    </row>
    <row r="35" spans="1:8" x14ac:dyDescent="0.3">
      <c r="A35" s="1">
        <v>33.5</v>
      </c>
      <c r="B35" s="2">
        <v>3.6282179999999999E-3</v>
      </c>
      <c r="C35" s="2">
        <v>3.6721000000000002E-3</v>
      </c>
      <c r="D35" s="2">
        <v>3.6321000000000001E-3</v>
      </c>
      <c r="E35" s="2">
        <v>3.6315000000000002E-3</v>
      </c>
      <c r="F35" s="5">
        <f t="shared" si="3"/>
        <v>1.2094642604165484</v>
      </c>
      <c r="G35" s="5">
        <f t="shared" si="4"/>
        <v>0.10699467341819258</v>
      </c>
      <c r="H35" s="5">
        <f t="shared" si="2"/>
        <v>9.0457629613216461E-2</v>
      </c>
    </row>
    <row r="36" spans="1:8" x14ac:dyDescent="0.3">
      <c r="A36" s="1">
        <v>34.5</v>
      </c>
      <c r="B36" s="2">
        <v>3.6839609999999999E-3</v>
      </c>
      <c r="C36" s="2">
        <v>3.7295000000000002E-3</v>
      </c>
      <c r="D36" s="2">
        <v>3.6879999999999999E-3</v>
      </c>
      <c r="E36" s="2">
        <v>3.6874E-3</v>
      </c>
      <c r="F36" s="5">
        <f t="shared" si="3"/>
        <v>1.2361422935802002</v>
      </c>
      <c r="G36" s="5">
        <f t="shared" si="4"/>
        <v>0.10963742558620648</v>
      </c>
      <c r="H36" s="5">
        <f t="shared" si="2"/>
        <v>9.3350608217623865E-2</v>
      </c>
    </row>
    <row r="37" spans="1:8" x14ac:dyDescent="0.3">
      <c r="A37" s="1">
        <v>35.5</v>
      </c>
      <c r="B37" s="2">
        <v>3.7446760000000002E-3</v>
      </c>
      <c r="C37" s="2">
        <v>3.7912000000000002E-3</v>
      </c>
      <c r="D37" s="2">
        <v>3.7491E-3</v>
      </c>
      <c r="E37" s="2">
        <v>3.7482000000000001E-3</v>
      </c>
      <c r="F37" s="5">
        <f t="shared" si="3"/>
        <v>1.2424038822050232</v>
      </c>
      <c r="G37" s="5">
        <f t="shared" si="4"/>
        <v>0.11814106213727804</v>
      </c>
      <c r="H37" s="5">
        <f t="shared" si="2"/>
        <v>9.4106940093086067E-2</v>
      </c>
    </row>
    <row r="38" spans="1:8" x14ac:dyDescent="0.3">
      <c r="A38" s="1">
        <v>36.5</v>
      </c>
      <c r="B38" s="2">
        <v>3.8113169999999998E-3</v>
      </c>
      <c r="C38" s="2">
        <v>3.8595000000000001E-3</v>
      </c>
      <c r="D38" s="2">
        <v>3.8162999999999999E-3</v>
      </c>
      <c r="E38" s="2">
        <v>3.8151000000000001E-3</v>
      </c>
      <c r="F38" s="5">
        <f t="shared" si="3"/>
        <v>1.2642086711758704</v>
      </c>
      <c r="G38" s="5">
        <f t="shared" si="4"/>
        <v>0.13074220800841641</v>
      </c>
      <c r="H38" s="5">
        <f t="shared" si="2"/>
        <v>9.9257028475996378E-2</v>
      </c>
    </row>
    <row r="39" spans="1:8" x14ac:dyDescent="0.3">
      <c r="A39" s="1">
        <v>37.5</v>
      </c>
      <c r="B39" s="2">
        <v>3.885197E-3</v>
      </c>
      <c r="C39" s="2">
        <v>3.9373999999999998E-3</v>
      </c>
      <c r="D39" s="2">
        <v>3.8909999999999999E-3</v>
      </c>
      <c r="E39" s="2">
        <v>3.8890999999999999E-3</v>
      </c>
      <c r="F39" s="5">
        <f t="shared" si="3"/>
        <v>1.3436384306896088</v>
      </c>
      <c r="G39" s="5">
        <f t="shared" si="4"/>
        <v>0.14936179555373741</v>
      </c>
      <c r="H39" s="5">
        <f t="shared" si="2"/>
        <v>0.10045822644257907</v>
      </c>
    </row>
    <row r="40" spans="1:8" x14ac:dyDescent="0.3">
      <c r="A40" s="1">
        <v>38.5</v>
      </c>
      <c r="B40" s="2">
        <v>3.9682620000000002E-3</v>
      </c>
      <c r="C40" s="2">
        <v>4.0204000000000004E-3</v>
      </c>
      <c r="D40" s="2">
        <v>3.9749E-3</v>
      </c>
      <c r="E40" s="2">
        <v>3.9727E-3</v>
      </c>
      <c r="F40" s="5">
        <f t="shared" si="3"/>
        <v>1.3138749407171302</v>
      </c>
      <c r="G40" s="5">
        <f t="shared" si="4"/>
        <v>0.16727726143082045</v>
      </c>
      <c r="H40" s="5">
        <f t="shared" si="2"/>
        <v>0.11183737364115487</v>
      </c>
    </row>
    <row r="41" spans="1:8" x14ac:dyDescent="0.3">
      <c r="A41" s="1">
        <v>39.5</v>
      </c>
      <c r="B41" s="2">
        <v>4.0636589999999998E-3</v>
      </c>
      <c r="C41" s="2">
        <v>4.1238999999999998E-3</v>
      </c>
      <c r="D41" s="2">
        <v>4.0705999999999997E-3</v>
      </c>
      <c r="E41" s="2">
        <v>4.0683999999999998E-3</v>
      </c>
      <c r="F41" s="5">
        <f t="shared" si="3"/>
        <v>1.4824324580384296</v>
      </c>
      <c r="G41" s="5">
        <f t="shared" si="4"/>
        <v>0.17080665479067836</v>
      </c>
      <c r="H41" s="5">
        <f t="shared" si="2"/>
        <v>0.11666825390614921</v>
      </c>
    </row>
    <row r="42" spans="1:8" x14ac:dyDescent="0.3">
      <c r="A42" s="1">
        <v>40.5</v>
      </c>
      <c r="B42" s="2">
        <v>4.1762739999999998E-3</v>
      </c>
      <c r="C42" s="2">
        <v>4.2370999999999997E-3</v>
      </c>
      <c r="D42" s="2">
        <v>4.1831000000000004E-3</v>
      </c>
      <c r="E42" s="2">
        <v>4.1815000000000003E-3</v>
      </c>
      <c r="F42" s="5">
        <f t="shared" si="3"/>
        <v>1.4564657395563563</v>
      </c>
      <c r="G42" s="5">
        <f t="shared" si="4"/>
        <v>0.16344713014520007</v>
      </c>
      <c r="H42" s="5">
        <f t="shared" si="2"/>
        <v>0.12513546764414407</v>
      </c>
    </row>
    <row r="43" spans="1:8" x14ac:dyDescent="0.3">
      <c r="A43" s="1">
        <v>41.5</v>
      </c>
      <c r="B43" s="2">
        <v>4.3118089999999998E-3</v>
      </c>
      <c r="C43" s="2">
        <v>4.3759000000000003E-3</v>
      </c>
      <c r="D43" s="2">
        <v>4.3182999999999997E-3</v>
      </c>
      <c r="E43" s="2">
        <v>4.3172999999999996E-3</v>
      </c>
      <c r="F43" s="5">
        <f t="shared" si="3"/>
        <v>1.4864062856216664</v>
      </c>
      <c r="G43" s="5">
        <f t="shared" si="4"/>
        <v>0.15054006334696002</v>
      </c>
      <c r="H43" s="5">
        <f t="shared" si="2"/>
        <v>0.1273479414324763</v>
      </c>
    </row>
    <row r="44" spans="1:8" x14ac:dyDescent="0.3">
      <c r="A44" s="1">
        <v>42.5</v>
      </c>
      <c r="B44" s="2">
        <v>4.4720990000000002E-3</v>
      </c>
      <c r="C44" s="2">
        <v>4.5383999999999997E-3</v>
      </c>
      <c r="D44" s="2">
        <v>4.4786000000000001E-3</v>
      </c>
      <c r="E44" s="2">
        <v>4.4774000000000003E-3</v>
      </c>
      <c r="F44" s="5">
        <f t="shared" si="3"/>
        <v>1.4825476806304971</v>
      </c>
      <c r="G44" s="5">
        <f t="shared" si="4"/>
        <v>0.1453679804494401</v>
      </c>
      <c r="H44" s="5">
        <f t="shared" si="2"/>
        <v>0.11853494298761369</v>
      </c>
    </row>
    <row r="45" spans="1:8" x14ac:dyDescent="0.3">
      <c r="A45" s="1">
        <v>43.5</v>
      </c>
      <c r="B45" s="2">
        <v>4.6497090000000001E-3</v>
      </c>
      <c r="C45" s="2">
        <v>4.7092000000000002E-3</v>
      </c>
      <c r="D45" s="2">
        <v>4.6560999999999998E-3</v>
      </c>
      <c r="E45" s="2">
        <v>4.6550999999999997E-3</v>
      </c>
      <c r="F45" s="5">
        <f t="shared" si="3"/>
        <v>1.2794564132938113</v>
      </c>
      <c r="G45" s="5">
        <f t="shared" si="4"/>
        <v>0.13744946189104823</v>
      </c>
      <c r="H45" s="5">
        <f t="shared" si="2"/>
        <v>0.11594273964241619</v>
      </c>
    </row>
    <row r="46" spans="1:8" x14ac:dyDescent="0.3">
      <c r="A46" s="1">
        <v>44.5</v>
      </c>
      <c r="B46" s="2">
        <v>4.829921E-3</v>
      </c>
      <c r="C46" s="2">
        <v>4.8906000000000002E-3</v>
      </c>
      <c r="D46" s="2">
        <v>4.8373000000000001E-3</v>
      </c>
      <c r="E46" s="2">
        <v>4.8346999999999999E-3</v>
      </c>
      <c r="F46" s="5">
        <f t="shared" si="3"/>
        <v>1.25631454427515</v>
      </c>
      <c r="G46" s="5">
        <f t="shared" si="4"/>
        <v>0.15277682595635778</v>
      </c>
      <c r="H46" s="5">
        <f t="shared" si="2"/>
        <v>9.8945717745690942E-2</v>
      </c>
    </row>
    <row r="47" spans="1:8" x14ac:dyDescent="0.3">
      <c r="A47" s="1">
        <v>45.5</v>
      </c>
      <c r="B47" s="2">
        <v>4.9869809999999997E-3</v>
      </c>
      <c r="C47" s="2">
        <v>5.0378999999999997E-3</v>
      </c>
      <c r="D47" s="2">
        <v>4.9950999999999997E-3</v>
      </c>
      <c r="E47" s="2">
        <v>4.9919999999999999E-3</v>
      </c>
      <c r="F47" s="5">
        <f t="shared" si="3"/>
        <v>1.0210385802552624</v>
      </c>
      <c r="G47" s="5">
        <f t="shared" si="4"/>
        <v>0.16280390881777684</v>
      </c>
      <c r="H47" s="5">
        <f t="shared" si="2"/>
        <v>0.10064205177442442</v>
      </c>
    </row>
    <row r="48" spans="1:8" x14ac:dyDescent="0.3">
      <c r="A48" s="1">
        <v>46.5</v>
      </c>
      <c r="B48" s="2">
        <v>5.0934839999999997E-3</v>
      </c>
      <c r="C48" s="2">
        <v>5.1396999999999997E-3</v>
      </c>
      <c r="D48" s="2">
        <v>5.1016000000000004E-3</v>
      </c>
      <c r="E48" s="2">
        <v>5.0978000000000004E-3</v>
      </c>
      <c r="F48" s="5">
        <f t="shared" si="3"/>
        <v>0.90735535833625924</v>
      </c>
      <c r="G48" s="5">
        <f t="shared" si="4"/>
        <v>0.15934083625275264</v>
      </c>
      <c r="H48" s="5">
        <f t="shared" si="2"/>
        <v>8.4735713315309269E-2</v>
      </c>
    </row>
    <row r="49" spans="1:8" x14ac:dyDescent="0.3">
      <c r="A49" s="1">
        <v>47.5</v>
      </c>
      <c r="B49" s="2">
        <v>5.132869E-3</v>
      </c>
      <c r="C49" s="2">
        <v>5.1704000000000003E-3</v>
      </c>
      <c r="D49" s="2">
        <v>5.1409000000000003E-3</v>
      </c>
      <c r="E49" s="2">
        <v>5.1374999999999997E-3</v>
      </c>
      <c r="F49" s="5">
        <f t="shared" si="3"/>
        <v>0.73118951603869942</v>
      </c>
      <c r="G49" s="5">
        <f t="shared" si="4"/>
        <v>0.15646220466565275</v>
      </c>
      <c r="H49" s="5">
        <f t="shared" si="2"/>
        <v>9.0222446744681051E-2</v>
      </c>
    </row>
    <row r="50" spans="1:8" x14ac:dyDescent="0.3">
      <c r="A50" s="1">
        <v>48.5</v>
      </c>
      <c r="B50" s="2">
        <v>5.0980569999999996E-3</v>
      </c>
      <c r="C50" s="2">
        <v>5.1305999999999999E-3</v>
      </c>
      <c r="D50" s="2">
        <v>5.1062E-3</v>
      </c>
      <c r="E50" s="2">
        <v>5.1022000000000003E-3</v>
      </c>
      <c r="F50" s="5">
        <f t="shared" si="3"/>
        <v>0.63834123470962734</v>
      </c>
      <c r="G50" s="5">
        <f t="shared" si="4"/>
        <v>0.15972751971977672</v>
      </c>
      <c r="H50" s="5">
        <f t="shared" si="2"/>
        <v>8.1266254967338192E-2</v>
      </c>
    </row>
    <row r="51" spans="1:8" x14ac:dyDescent="0.3">
      <c r="A51" s="1">
        <v>49.5</v>
      </c>
      <c r="B51" s="2">
        <v>4.9877990000000002E-3</v>
      </c>
      <c r="C51" s="2">
        <v>5.0141999999999999E-3</v>
      </c>
      <c r="D51" s="2">
        <v>4.9957999999999999E-3</v>
      </c>
      <c r="E51" s="2">
        <v>4.9922999999999999E-3</v>
      </c>
      <c r="F51" s="5">
        <f t="shared" si="3"/>
        <v>0.52931162623031103</v>
      </c>
      <c r="G51" s="5">
        <f t="shared" si="4"/>
        <v>0.16041143598608532</v>
      </c>
      <c r="H51" s="5">
        <f t="shared" si="2"/>
        <v>9.0240204146141423E-2</v>
      </c>
    </row>
    <row r="52" spans="1:8" x14ac:dyDescent="0.3">
      <c r="A52" s="1">
        <v>50.5</v>
      </c>
      <c r="B52" s="2">
        <v>4.8079489999999997E-3</v>
      </c>
      <c r="C52" s="2">
        <v>4.8285000000000003E-3</v>
      </c>
      <c r="D52" s="2">
        <v>4.8152999999999998E-3</v>
      </c>
      <c r="E52" s="2">
        <v>4.8119E-3</v>
      </c>
      <c r="F52" s="5">
        <f t="shared" si="3"/>
        <v>0.42743797823148189</v>
      </c>
      <c r="G52" s="5">
        <f t="shared" si="4"/>
        <v>0.15289263675632991</v>
      </c>
      <c r="H52" s="5">
        <f t="shared" si="2"/>
        <v>8.2176412436996138E-2</v>
      </c>
    </row>
    <row r="53" spans="1:8" x14ac:dyDescent="0.3">
      <c r="A53" s="1">
        <v>51.5</v>
      </c>
      <c r="B53" s="2">
        <v>4.5718149999999999E-3</v>
      </c>
      <c r="C53" s="2">
        <v>4.5880000000000001E-3</v>
      </c>
      <c r="D53" s="2">
        <v>4.5785000000000001E-3</v>
      </c>
      <c r="E53" s="2">
        <v>4.5760000000000002E-3</v>
      </c>
      <c r="F53" s="5">
        <f t="shared" si="3"/>
        <v>0.35401694950474294</v>
      </c>
      <c r="G53" s="5">
        <f t="shared" si="4"/>
        <v>0.14622201467031637</v>
      </c>
      <c r="H53" s="5">
        <f t="shared" si="2"/>
        <v>9.1539137082330413E-2</v>
      </c>
    </row>
    <row r="54" spans="1:8" x14ac:dyDescent="0.3">
      <c r="A54" s="1">
        <v>52.5</v>
      </c>
      <c r="B54" s="2">
        <v>4.295381E-3</v>
      </c>
      <c r="C54" s="2">
        <v>4.3071999999999997E-3</v>
      </c>
      <c r="D54" s="2">
        <v>4.3014999999999998E-3</v>
      </c>
      <c r="E54" s="2">
        <v>4.2989999999999999E-3</v>
      </c>
      <c r="F54" s="5">
        <f t="shared" si="3"/>
        <v>0.27515603388847953</v>
      </c>
      <c r="G54" s="5">
        <f t="shared" si="4"/>
        <v>0.14245534912966651</v>
      </c>
      <c r="H54" s="5">
        <f t="shared" si="2"/>
        <v>8.4253294410907564E-2</v>
      </c>
    </row>
    <row r="55" spans="1:8" x14ac:dyDescent="0.3">
      <c r="A55" s="1">
        <v>53.5</v>
      </c>
      <c r="B55" s="2">
        <v>3.9932450000000003E-3</v>
      </c>
      <c r="C55" s="2">
        <v>4.0026999999999997E-3</v>
      </c>
      <c r="D55" s="2">
        <v>3.9987E-3</v>
      </c>
      <c r="E55" s="2">
        <v>3.9969999999999997E-3</v>
      </c>
      <c r="F55" s="5">
        <f t="shared" si="3"/>
        <v>0.23677485353388317</v>
      </c>
      <c r="G55" s="5">
        <f t="shared" si="4"/>
        <v>0.13660569286382263</v>
      </c>
      <c r="H55" s="5">
        <f t="shared" si="2"/>
        <v>9.4033799579018584E-2</v>
      </c>
    </row>
    <row r="56" spans="1:8" x14ac:dyDescent="0.3">
      <c r="A56" s="1">
        <v>54.5</v>
      </c>
      <c r="B56" s="2">
        <v>3.6785770000000001E-3</v>
      </c>
      <c r="C56" s="2">
        <v>3.6849000000000001E-3</v>
      </c>
      <c r="D56" s="2">
        <v>3.6833999999999999E-3</v>
      </c>
      <c r="E56" s="2">
        <v>3.6817999999999998E-3</v>
      </c>
      <c r="F56" s="5">
        <f t="shared" si="3"/>
        <v>0.17188711830689041</v>
      </c>
      <c r="G56" s="5">
        <f t="shared" si="4"/>
        <v>0.13111048103655598</v>
      </c>
      <c r="H56" s="5">
        <f t="shared" si="2"/>
        <v>8.7615401281526673E-2</v>
      </c>
    </row>
    <row r="57" spans="1:8" x14ac:dyDescent="0.3">
      <c r="A57" s="1">
        <v>55.5</v>
      </c>
      <c r="B57" s="2">
        <v>3.3621829999999999E-3</v>
      </c>
      <c r="C57" s="2">
        <v>3.3676000000000001E-3</v>
      </c>
      <c r="D57" s="2">
        <v>3.3663999999999999E-3</v>
      </c>
      <c r="E57" s="2">
        <v>3.3654000000000002E-3</v>
      </c>
      <c r="F57" s="5">
        <f t="shared" si="3"/>
        <v>0.16111556093170165</v>
      </c>
      <c r="G57" s="5">
        <f t="shared" si="4"/>
        <v>0.12542446380818806</v>
      </c>
      <c r="H57" s="5">
        <f t="shared" si="2"/>
        <v>9.5681882871945234E-2</v>
      </c>
    </row>
    <row r="58" spans="1:8" x14ac:dyDescent="0.3">
      <c r="A58" s="1">
        <v>56.5</v>
      </c>
      <c r="B58" s="2">
        <v>3.0519689999999999E-3</v>
      </c>
      <c r="C58" s="2">
        <v>3.0552000000000001E-3</v>
      </c>
      <c r="D58" s="2">
        <v>3.0557000000000002E-3</v>
      </c>
      <c r="E58" s="2">
        <v>3.0547E-3</v>
      </c>
      <c r="F58" s="5">
        <f t="shared" si="3"/>
        <v>0.10586608186387014</v>
      </c>
      <c r="G58" s="5">
        <f t="shared" si="4"/>
        <v>0.12224894813808174</v>
      </c>
      <c r="H58" s="5">
        <f t="shared" si="2"/>
        <v>8.9483215589680754E-2</v>
      </c>
    </row>
    <row r="59" spans="1:8" x14ac:dyDescent="0.3">
      <c r="A59" s="1">
        <v>57.5</v>
      </c>
      <c r="B59" s="2">
        <v>2.7538279999999998E-3</v>
      </c>
      <c r="C59" s="2">
        <v>2.7567999999999998E-3</v>
      </c>
      <c r="D59" s="2">
        <v>2.7571000000000002E-3</v>
      </c>
      <c r="E59" s="2">
        <v>2.7564999999999998E-3</v>
      </c>
      <c r="F59" s="5">
        <f t="shared" si="3"/>
        <v>0.10792249915390073</v>
      </c>
      <c r="G59" s="5">
        <f t="shared" si="4"/>
        <v>0.1188164257172275</v>
      </c>
      <c r="H59" s="5">
        <f t="shared" si="2"/>
        <v>9.7028572590596163E-2</v>
      </c>
    </row>
    <row r="60" spans="1:8" x14ac:dyDescent="0.3">
      <c r="A60" s="1">
        <v>58.5</v>
      </c>
      <c r="B60" s="2">
        <v>2.4714089999999999E-3</v>
      </c>
      <c r="C60" s="2">
        <v>2.4731000000000002E-3</v>
      </c>
      <c r="D60" s="2">
        <v>2.4743999999999999E-3</v>
      </c>
      <c r="E60" s="2">
        <v>2.4735999999999998E-3</v>
      </c>
      <c r="F60" s="5">
        <f t="shared" si="3"/>
        <v>6.8422507160903479E-2</v>
      </c>
      <c r="G60" s="5">
        <f t="shared" si="4"/>
        <v>0.12102407978606955</v>
      </c>
      <c r="H60" s="5">
        <f t="shared" si="2"/>
        <v>8.8653881247502397E-2</v>
      </c>
    </row>
    <row r="61" spans="1:8" x14ac:dyDescent="0.3">
      <c r="A61" s="1">
        <v>59.5</v>
      </c>
      <c r="B61" s="2">
        <v>2.2068119999999998E-3</v>
      </c>
      <c r="C61" s="2">
        <v>2.2085E-3</v>
      </c>
      <c r="D61" s="2">
        <v>2.2093999999999998E-3</v>
      </c>
      <c r="E61" s="2">
        <v>2.2089000000000002E-3</v>
      </c>
      <c r="F61" s="5">
        <f t="shared" si="3"/>
        <v>7.6490430539633003E-2</v>
      </c>
      <c r="G61" s="5">
        <f t="shared" si="4"/>
        <v>0.11727324303112407</v>
      </c>
      <c r="H61" s="5">
        <f t="shared" si="2"/>
        <v>9.4616124980295702E-2</v>
      </c>
    </row>
    <row r="62" spans="1:8" x14ac:dyDescent="0.3">
      <c r="A62" s="1">
        <v>60.5</v>
      </c>
      <c r="B62" s="2">
        <v>1.96145E-3</v>
      </c>
      <c r="C62" s="2">
        <v>1.9621E-3</v>
      </c>
      <c r="D62" s="2">
        <v>1.9637000000000001E-3</v>
      </c>
      <c r="E62" s="2">
        <v>1.9632E-3</v>
      </c>
      <c r="F62" s="5">
        <f t="shared" si="3"/>
        <v>3.313874939459005E-2</v>
      </c>
      <c r="G62" s="5">
        <f t="shared" si="4"/>
        <v>0.11471105559663908</v>
      </c>
      <c r="H62" s="5">
        <f t="shared" si="2"/>
        <v>8.9219709908494593E-2</v>
      </c>
    </row>
    <row r="63" spans="1:8" x14ac:dyDescent="0.3">
      <c r="A63" s="1">
        <v>61.5</v>
      </c>
      <c r="B63" s="2">
        <v>1.736076E-3</v>
      </c>
      <c r="C63" s="2">
        <v>1.737E-3</v>
      </c>
      <c r="D63" s="2">
        <v>1.7381E-3</v>
      </c>
      <c r="E63" s="2">
        <v>1.7378000000000001E-3</v>
      </c>
      <c r="F63" s="5">
        <f t="shared" si="3"/>
        <v>5.3223476391583979E-2</v>
      </c>
      <c r="G63" s="5">
        <f t="shared" si="4"/>
        <v>0.11658475781013422</v>
      </c>
      <c r="H63" s="5">
        <f t="shared" si="2"/>
        <v>9.9304408332345773E-2</v>
      </c>
    </row>
    <row r="64" spans="1:8" x14ac:dyDescent="0.3">
      <c r="A64" s="1">
        <v>62.5</v>
      </c>
      <c r="B64" s="2">
        <v>1.5304050000000001E-3</v>
      </c>
      <c r="C64" s="2">
        <v>1.5306E-3</v>
      </c>
      <c r="D64" s="2">
        <v>1.5322000000000001E-3</v>
      </c>
      <c r="E64" s="2">
        <v>1.5318E-3</v>
      </c>
      <c r="F64" s="5">
        <f t="shared" si="3"/>
        <v>1.2741725229581391E-2</v>
      </c>
      <c r="G64" s="5">
        <f t="shared" si="4"/>
        <v>0.11728921429294825</v>
      </c>
      <c r="H64" s="5">
        <f t="shared" si="2"/>
        <v>9.1152342027100985E-2</v>
      </c>
    </row>
    <row r="65" spans="1:8" x14ac:dyDescent="0.3">
      <c r="A65" s="1">
        <v>63.5</v>
      </c>
      <c r="B65" s="2">
        <v>1.3437760000000001E-3</v>
      </c>
      <c r="C65" s="2">
        <v>1.3442E-3</v>
      </c>
      <c r="D65" s="2">
        <v>1.3453E-3</v>
      </c>
      <c r="E65" s="2">
        <v>1.3450999999999999E-3</v>
      </c>
      <c r="F65" s="5">
        <f t="shared" si="3"/>
        <v>3.1552877860585582E-2</v>
      </c>
      <c r="G65" s="5">
        <f t="shared" si="4"/>
        <v>0.11341175910271062</v>
      </c>
      <c r="H65" s="5">
        <f t="shared" si="2"/>
        <v>9.8528326149582846E-2</v>
      </c>
    </row>
    <row r="66" spans="1:8" x14ac:dyDescent="0.3">
      <c r="A66" s="1">
        <v>64.5</v>
      </c>
      <c r="B66" s="2">
        <v>1.1754420000000001E-3</v>
      </c>
      <c r="C66" s="2">
        <v>1.1753E-3</v>
      </c>
      <c r="D66" s="2">
        <v>1.1768E-3</v>
      </c>
      <c r="E66" s="2">
        <v>1.1765E-3</v>
      </c>
      <c r="F66" s="5">
        <f t="shared" ref="F66:F81" si="5">100*(C66/B66-1)</f>
        <v>-1.2080562035388098E-2</v>
      </c>
      <c r="G66" s="5">
        <f t="shared" ref="G66:G81" si="6">100*(D66/B66-1)</f>
        <v>0.11553100876096067</v>
      </c>
      <c r="H66" s="5">
        <f t="shared" si="2"/>
        <v>9.000869460169536E-2</v>
      </c>
    </row>
    <row r="67" spans="1:8" x14ac:dyDescent="0.3">
      <c r="A67" s="1">
        <v>65.5</v>
      </c>
      <c r="B67" s="2">
        <v>1.024521E-3</v>
      </c>
      <c r="C67" s="2">
        <v>1.0246000000000001E-3</v>
      </c>
      <c r="D67" s="2">
        <v>1.0257E-3</v>
      </c>
      <c r="E67" s="2">
        <v>1.0254999999999999E-3</v>
      </c>
      <c r="F67" s="5">
        <f t="shared" si="5"/>
        <v>7.7109205179892726E-3</v>
      </c>
      <c r="G67" s="5">
        <f t="shared" si="6"/>
        <v>0.11507816823668193</v>
      </c>
      <c r="H67" s="5">
        <f t="shared" ref="H67:H81" si="7">100*(E67/B67-1)</f>
        <v>9.5556850469624699E-2</v>
      </c>
    </row>
    <row r="68" spans="1:8" x14ac:dyDescent="0.3">
      <c r="A68" s="1">
        <v>66.5</v>
      </c>
      <c r="B68" s="2">
        <v>8.8998899999999999E-4</v>
      </c>
      <c r="C68" s="2">
        <v>8.8968999999999995E-4</v>
      </c>
      <c r="D68" s="2">
        <v>8.9099000000000003E-4</v>
      </c>
      <c r="E68" s="2">
        <v>8.9077000000000004E-4</v>
      </c>
      <c r="F68" s="5">
        <f t="shared" si="5"/>
        <v>-3.3595920848461525E-2</v>
      </c>
      <c r="G68" s="5">
        <f t="shared" si="6"/>
        <v>0.1124733002318079</v>
      </c>
      <c r="H68" s="5">
        <f t="shared" si="7"/>
        <v>8.7753893587461107E-2</v>
      </c>
    </row>
    <row r="69" spans="1:8" x14ac:dyDescent="0.3">
      <c r="A69" s="1">
        <v>67.5</v>
      </c>
      <c r="B69" s="2">
        <v>7.707155E-4</v>
      </c>
      <c r="C69" s="2">
        <v>7.7066000000000005E-4</v>
      </c>
      <c r="D69" s="2">
        <v>7.7158000000000001E-4</v>
      </c>
      <c r="E69" s="2">
        <v>7.7145999999999996E-4</v>
      </c>
      <c r="F69" s="5">
        <f t="shared" si="5"/>
        <v>-7.2011007952954564E-3</v>
      </c>
      <c r="G69" s="5">
        <f t="shared" si="6"/>
        <v>0.11216849797364148</v>
      </c>
      <c r="H69" s="5">
        <f t="shared" si="7"/>
        <v>9.6598550308124587E-2</v>
      </c>
    </row>
    <row r="70" spans="1:8" x14ac:dyDescent="0.3">
      <c r="A70" s="1">
        <v>68.5</v>
      </c>
      <c r="B70" s="2">
        <v>6.6549990000000004E-4</v>
      </c>
      <c r="C70" s="2">
        <v>6.6513E-4</v>
      </c>
      <c r="D70" s="2">
        <v>6.6624000000000002E-4</v>
      </c>
      <c r="E70" s="2">
        <v>6.6607000000000005E-4</v>
      </c>
      <c r="F70" s="5">
        <f t="shared" si="5"/>
        <v>-5.5582277322663298E-2</v>
      </c>
      <c r="G70" s="5">
        <f t="shared" si="6"/>
        <v>0.11120963354014357</v>
      </c>
      <c r="H70" s="5">
        <f t="shared" si="7"/>
        <v>8.5664926471062941E-2</v>
      </c>
    </row>
    <row r="71" spans="1:8" x14ac:dyDescent="0.3">
      <c r="A71" s="1">
        <v>69.5</v>
      </c>
      <c r="B71" s="2">
        <v>5.7311380000000004E-4</v>
      </c>
      <c r="C71" s="2">
        <v>5.7297999999999995E-4</v>
      </c>
      <c r="D71" s="2">
        <v>5.7375000000000004E-4</v>
      </c>
      <c r="E71" s="2">
        <v>5.7366000000000003E-4</v>
      </c>
      <c r="F71" s="5">
        <f t="shared" si="5"/>
        <v>-2.3346148705560843E-2</v>
      </c>
      <c r="G71" s="5">
        <f t="shared" si="6"/>
        <v>0.11100762187195024</v>
      </c>
      <c r="H71" s="5">
        <f t="shared" si="7"/>
        <v>9.5303934401846924E-2</v>
      </c>
    </row>
    <row r="72" spans="1:8" x14ac:dyDescent="0.3">
      <c r="A72" s="1">
        <v>70.5</v>
      </c>
      <c r="B72" s="2">
        <v>4.9233739999999995E-4</v>
      </c>
      <c r="C72" s="2">
        <v>4.9198000000000004E-4</v>
      </c>
      <c r="D72" s="2">
        <v>4.9288000000000001E-4</v>
      </c>
      <c r="E72" s="2">
        <v>4.9275000000000002E-4</v>
      </c>
      <c r="F72" s="5">
        <f t="shared" si="5"/>
        <v>-7.2592494496637183E-2</v>
      </c>
      <c r="G72" s="5">
        <f t="shared" si="6"/>
        <v>0.11020897457720835</v>
      </c>
      <c r="H72" s="5">
        <f t="shared" si="7"/>
        <v>8.3804317933200423E-2</v>
      </c>
    </row>
    <row r="73" spans="1:8" x14ac:dyDescent="0.3">
      <c r="A73" s="1">
        <v>71.5</v>
      </c>
      <c r="B73" s="2">
        <v>4.2199259999999998E-4</v>
      </c>
      <c r="C73" s="2">
        <v>4.2183999999999999E-4</v>
      </c>
      <c r="D73" s="2">
        <v>4.2245999999999999E-4</v>
      </c>
      <c r="E73" s="2">
        <v>4.2239000000000003E-4</v>
      </c>
      <c r="F73" s="5">
        <f t="shared" si="5"/>
        <v>-3.6161771557130518E-2</v>
      </c>
      <c r="G73" s="5">
        <f t="shared" si="6"/>
        <v>0.11076023607996532</v>
      </c>
      <c r="H73" s="5">
        <f t="shared" si="7"/>
        <v>9.417226747578944E-2</v>
      </c>
    </row>
    <row r="74" spans="1:8" x14ac:dyDescent="0.3">
      <c r="A74" s="1">
        <v>72.5</v>
      </c>
      <c r="B74" s="2">
        <v>3.6093980000000001E-4</v>
      </c>
      <c r="C74" s="2">
        <v>3.6060999999999998E-4</v>
      </c>
      <c r="D74" s="2">
        <v>3.6133999999999998E-4</v>
      </c>
      <c r="E74" s="2">
        <v>3.6122999999999998E-4</v>
      </c>
      <c r="F74" s="5">
        <f t="shared" si="5"/>
        <v>-9.1372577920201259E-2</v>
      </c>
      <c r="G74" s="5">
        <f t="shared" si="6"/>
        <v>0.11087721553566521</v>
      </c>
      <c r="H74" s="5">
        <f t="shared" si="7"/>
        <v>8.0401219261494461E-2</v>
      </c>
    </row>
    <row r="75" spans="1:8" x14ac:dyDescent="0.3">
      <c r="A75" s="1">
        <v>73.5</v>
      </c>
      <c r="B75" s="2">
        <v>3.082313E-4</v>
      </c>
      <c r="C75" s="2">
        <v>3.0810000000000001E-4</v>
      </c>
      <c r="D75" s="2">
        <v>3.0856999999999998E-4</v>
      </c>
      <c r="E75" s="2">
        <v>3.0852000000000001E-4</v>
      </c>
      <c r="F75" s="5">
        <f t="shared" si="5"/>
        <v>-4.2597880228256724E-2</v>
      </c>
      <c r="G75" s="5">
        <f t="shared" si="6"/>
        <v>0.10988501167790155</v>
      </c>
      <c r="H75" s="5">
        <f t="shared" si="7"/>
        <v>9.3663427432577606E-2</v>
      </c>
    </row>
    <row r="76" spans="1:8" x14ac:dyDescent="0.3">
      <c r="A76" s="1">
        <v>74.5</v>
      </c>
      <c r="B76" s="2">
        <v>2.6286689999999998E-4</v>
      </c>
      <c r="C76" s="2">
        <v>2.6259999999999999E-4</v>
      </c>
      <c r="D76" s="2">
        <v>2.6315000000000003E-4</v>
      </c>
      <c r="E76" s="2">
        <v>2.6308000000000001E-4</v>
      </c>
      <c r="F76" s="5">
        <f t="shared" si="5"/>
        <v>-0.10153427457013642</v>
      </c>
      <c r="G76" s="5">
        <f t="shared" si="6"/>
        <v>0.10769708928741739</v>
      </c>
      <c r="H76" s="5">
        <f t="shared" si="7"/>
        <v>8.1067642978260857E-2</v>
      </c>
    </row>
    <row r="77" spans="1:8" x14ac:dyDescent="0.3">
      <c r="A77" s="1">
        <v>75.5</v>
      </c>
      <c r="B77" s="2">
        <v>2.2392110000000001E-4</v>
      </c>
      <c r="C77" s="2">
        <v>2.2380999999999999E-4</v>
      </c>
      <c r="D77" s="2">
        <v>2.2416999999999999E-4</v>
      </c>
      <c r="E77" s="2">
        <v>2.2413000000000001E-4</v>
      </c>
      <c r="F77" s="5">
        <f t="shared" si="5"/>
        <v>-4.9615690526716438E-2</v>
      </c>
      <c r="G77" s="5">
        <f t="shared" si="6"/>
        <v>0.11115522387126209</v>
      </c>
      <c r="H77" s="5">
        <f t="shared" si="7"/>
        <v>9.3291788938154596E-2</v>
      </c>
    </row>
    <row r="78" spans="1:8" x14ac:dyDescent="0.3">
      <c r="A78" s="1">
        <v>76.5</v>
      </c>
      <c r="B78" s="2">
        <v>1.9056849999999999E-4</v>
      </c>
      <c r="C78" s="2">
        <v>1.9035999999999999E-4</v>
      </c>
      <c r="D78" s="2">
        <v>1.9078000000000001E-4</v>
      </c>
      <c r="E78" s="2">
        <v>1.9071999999999999E-4</v>
      </c>
      <c r="F78" s="5">
        <f t="shared" si="5"/>
        <v>-0.10940947743199869</v>
      </c>
      <c r="G78" s="5">
        <f t="shared" si="6"/>
        <v>0.11098371451736533</v>
      </c>
      <c r="H78" s="5">
        <f t="shared" si="7"/>
        <v>7.9498972810299051E-2</v>
      </c>
    </row>
    <row r="79" spans="1:8" x14ac:dyDescent="0.3">
      <c r="A79" s="1">
        <v>77.5</v>
      </c>
      <c r="B79" s="2">
        <v>1.620627E-4</v>
      </c>
      <c r="C79" s="2">
        <v>1.6197999999999999E-4</v>
      </c>
      <c r="D79" s="2">
        <v>1.6223999999999999E-4</v>
      </c>
      <c r="E79" s="2">
        <v>1.6221000000000001E-4</v>
      </c>
      <c r="F79" s="5">
        <f t="shared" si="5"/>
        <v>-5.10296323583459E-2</v>
      </c>
      <c r="G79" s="5">
        <f t="shared" si="6"/>
        <v>0.10940210177912135</v>
      </c>
      <c r="H79" s="5">
        <f t="shared" si="7"/>
        <v>9.0890747840188801E-2</v>
      </c>
    </row>
    <row r="80" spans="1:8" x14ac:dyDescent="0.3">
      <c r="A80" s="1">
        <v>78.5</v>
      </c>
      <c r="B80" s="2">
        <v>1.3773799999999999E-4</v>
      </c>
      <c r="C80" s="2">
        <v>1.3757999999999999E-4</v>
      </c>
      <c r="D80" s="2">
        <v>1.3789E-4</v>
      </c>
      <c r="E80" s="2">
        <v>1.3784999999999999E-4</v>
      </c>
      <c r="F80" s="5">
        <f t="shared" si="5"/>
        <v>-0.11471053739707804</v>
      </c>
      <c r="G80" s="5">
        <f t="shared" si="6"/>
        <v>0.11035444104023906</v>
      </c>
      <c r="H80" s="5">
        <f t="shared" si="7"/>
        <v>8.1313798661231118E-2</v>
      </c>
    </row>
    <row r="81" spans="1:8" x14ac:dyDescent="0.3">
      <c r="A81" s="1">
        <v>79.5</v>
      </c>
      <c r="B81" s="2">
        <v>1.170078E-4</v>
      </c>
      <c r="C81" s="2">
        <v>1.1695E-4</v>
      </c>
      <c r="D81" s="2">
        <v>1.1714000000000001E-4</v>
      </c>
      <c r="E81" s="2">
        <v>1.1712E-4</v>
      </c>
      <c r="F81" s="5">
        <f t="shared" si="5"/>
        <v>-4.9398416173973558E-2</v>
      </c>
      <c r="G81" s="5">
        <f t="shared" si="6"/>
        <v>0.1129839207300698</v>
      </c>
      <c r="H81" s="5">
        <f t="shared" si="7"/>
        <v>9.5891043161233647E-2</v>
      </c>
    </row>
    <row r="82" spans="1:8" x14ac:dyDescent="0.3">
      <c r="A82" s="1" t="s">
        <v>2</v>
      </c>
      <c r="F82" s="3" cm="1">
        <f t="array" ref="F82">MAX(ABS(F2:F81))</f>
        <v>1.4864062856216664</v>
      </c>
      <c r="G82" s="3" cm="1">
        <f t="array" ref="G82">MAX(ABS(G2:G81))</f>
        <v>0.17080665479067836</v>
      </c>
      <c r="H82" s="3" cm="1">
        <f t="array" ref="H82">MAX(ABS(H2:H81))</f>
        <v>0.1273479414324763</v>
      </c>
    </row>
    <row r="83" spans="1:8" x14ac:dyDescent="0.3">
      <c r="A83" s="1" t="s">
        <v>3</v>
      </c>
      <c r="F83" s="3" cm="1">
        <f t="array" ref="F83">AVERAGE(ABS(F2:F81))</f>
        <v>0.71089930099410426</v>
      </c>
      <c r="G83" s="3" cm="1">
        <f t="array" ref="G83">AVERAGE(ABS(G2:G81))</f>
        <v>0.11545801243749514</v>
      </c>
      <c r="H83" s="3" cm="1">
        <f t="array" ref="H83">AVERAGE(ABS(H2:H81))</f>
        <v>8.8372146268501373E-2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Korkin, Sergey V. (GSFC-613.0)[UNIVERSITY OF MARYLAND </cp:lastModifiedBy>
  <dcterms:created xsi:type="dcterms:W3CDTF">2026-01-15T16:11:45Z</dcterms:created>
  <dcterms:modified xsi:type="dcterms:W3CDTF">2026-01-20T17:40:50Z</dcterms:modified>
</cp:coreProperties>
</file>